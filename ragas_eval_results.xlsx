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202300"/>
  <mc:AlternateContent xmlns:mc="http://schemas.openxmlformats.org/markup-compatibility/2006">
    <mc:Choice Requires="x15">
      <x15ac:absPath xmlns:x15ac="http://schemas.microsoft.com/office/spreadsheetml/2010/11/ac" url="/Users/syedtaha/Desktop/nust_policy/"/>
    </mc:Choice>
  </mc:AlternateContent>
  <xr:revisionPtr revIDLastSave="0" documentId="13_ncr:1_{8266E2FB-0CA7-AE43-B2F4-F962C1277DA1}" xr6:coauthVersionLast="47" xr6:coauthVersionMax="47" xr10:uidLastSave="{00000000-0000-0000-0000-000000000000}"/>
  <bookViews>
    <workbookView xWindow="380" yWindow="80" windowWidth="28040" windowHeight="17180" xr2:uid="{AF85C741-FD66-E245-A6DF-74975B4DD63C}"/>
  </bookViews>
  <sheets>
    <sheet name="ragas_eval_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H9" i="1"/>
  <c r="G10" i="1"/>
  <c r="H10" i="1"/>
  <c r="G11" i="1"/>
  <c r="H11" i="1"/>
  <c r="G12" i="1"/>
  <c r="H12" i="1"/>
  <c r="G13" i="1"/>
  <c r="H13" i="1"/>
  <c r="G14" i="1"/>
  <c r="H14" i="1"/>
  <c r="G15" i="1"/>
  <c r="H15" i="1"/>
  <c r="G16" i="1"/>
  <c r="H16" i="1"/>
  <c r="G17" i="1"/>
  <c r="H17" i="1"/>
  <c r="G18" i="1"/>
  <c r="H18" i="1"/>
  <c r="G19" i="1"/>
  <c r="H19" i="1"/>
  <c r="G20" i="1"/>
  <c r="H20" i="1"/>
  <c r="G21" i="1"/>
  <c r="H21" i="1"/>
  <c r="G22" i="1"/>
  <c r="H22" i="1"/>
  <c r="G23" i="1"/>
  <c r="H23" i="1"/>
  <c r="G24" i="1"/>
  <c r="H24" i="1"/>
  <c r="G25" i="1"/>
  <c r="H25" i="1"/>
  <c r="G26" i="1"/>
  <c r="H26" i="1"/>
  <c r="G27" i="1"/>
  <c r="H27" i="1"/>
  <c r="G28" i="1"/>
  <c r="H28" i="1"/>
  <c r="G29" i="1"/>
  <c r="H29" i="1"/>
  <c r="G30" i="1"/>
  <c r="H30" i="1"/>
  <c r="G31" i="1"/>
  <c r="H31" i="1"/>
  <c r="G32" i="1"/>
  <c r="H32" i="1"/>
  <c r="G33" i="1"/>
  <c r="H33" i="1"/>
  <c r="G34" i="1"/>
  <c r="H34" i="1"/>
  <c r="G35" i="1"/>
  <c r="H35" i="1"/>
  <c r="G36" i="1"/>
  <c r="H36" i="1"/>
  <c r="G37" i="1"/>
  <c r="H37" i="1"/>
  <c r="G38" i="1"/>
  <c r="H38" i="1"/>
  <c r="G39" i="1"/>
  <c r="H39" i="1"/>
  <c r="G40" i="1"/>
  <c r="H40" i="1"/>
  <c r="G41" i="1"/>
  <c r="H41" i="1"/>
  <c r="G42" i="1"/>
  <c r="H42" i="1"/>
  <c r="G43" i="1"/>
  <c r="H43" i="1"/>
  <c r="G44" i="1"/>
  <c r="H44" i="1"/>
  <c r="G45" i="1"/>
  <c r="H45" i="1"/>
  <c r="G46" i="1"/>
  <c r="H46" i="1"/>
  <c r="G47" i="1"/>
  <c r="H47" i="1"/>
  <c r="G48" i="1"/>
  <c r="H48" i="1"/>
  <c r="G49" i="1"/>
  <c r="H49" i="1"/>
  <c r="G50" i="1"/>
  <c r="H50" i="1"/>
  <c r="G51" i="1"/>
  <c r="H51" i="1"/>
  <c r="G52" i="1"/>
  <c r="H52" i="1"/>
  <c r="G53" i="1"/>
  <c r="H53" i="1"/>
  <c r="G54" i="1"/>
  <c r="H54" i="1"/>
  <c r="G55" i="1"/>
  <c r="H55" i="1"/>
  <c r="G56" i="1"/>
  <c r="H56" i="1"/>
  <c r="G57" i="1"/>
  <c r="H57" i="1"/>
  <c r="G58" i="1"/>
  <c r="H58" i="1"/>
  <c r="G59" i="1"/>
  <c r="H59" i="1"/>
  <c r="G60" i="1"/>
  <c r="H60" i="1"/>
  <c r="G61" i="1"/>
  <c r="H61" i="1"/>
  <c r="G62" i="1"/>
  <c r="H62" i="1"/>
  <c r="G63" i="1"/>
  <c r="H63" i="1"/>
  <c r="G64" i="1"/>
  <c r="H64" i="1"/>
  <c r="G65" i="1"/>
  <c r="H65" i="1"/>
  <c r="G66" i="1"/>
  <c r="H66" i="1"/>
  <c r="G67" i="1"/>
  <c r="H67" i="1"/>
  <c r="G68" i="1"/>
  <c r="H68" i="1"/>
  <c r="G69" i="1"/>
  <c r="H69" i="1"/>
  <c r="G70" i="1"/>
  <c r="H70" i="1"/>
  <c r="G71" i="1"/>
  <c r="H71" i="1"/>
  <c r="G72" i="1"/>
  <c r="H72" i="1"/>
  <c r="G73" i="1"/>
  <c r="H73" i="1"/>
  <c r="G74" i="1"/>
  <c r="H74" i="1"/>
  <c r="G75" i="1"/>
  <c r="H75" i="1"/>
  <c r="G76" i="1"/>
  <c r="H76" i="1"/>
  <c r="G77" i="1"/>
  <c r="H77" i="1"/>
  <c r="G78" i="1"/>
  <c r="H78" i="1"/>
  <c r="G79" i="1"/>
  <c r="H79" i="1"/>
  <c r="G80" i="1"/>
  <c r="H80" i="1"/>
  <c r="G81" i="1"/>
  <c r="H81" i="1"/>
  <c r="G82" i="1"/>
  <c r="H82" i="1"/>
  <c r="G83" i="1"/>
  <c r="H83" i="1"/>
  <c r="G84" i="1"/>
  <c r="H84" i="1"/>
  <c r="G85" i="1"/>
  <c r="H85" i="1"/>
  <c r="G86" i="1"/>
  <c r="H86" i="1"/>
  <c r="G87" i="1"/>
  <c r="H87" i="1"/>
  <c r="G88" i="1"/>
  <c r="H88" i="1"/>
  <c r="G89" i="1"/>
  <c r="H89" i="1"/>
  <c r="G90" i="1"/>
  <c r="H90" i="1"/>
  <c r="G91" i="1"/>
  <c r="H91" i="1"/>
  <c r="G92" i="1"/>
  <c r="H92" i="1"/>
  <c r="G93" i="1"/>
  <c r="H93" i="1"/>
  <c r="G94" i="1"/>
  <c r="H94" i="1"/>
  <c r="G95" i="1"/>
  <c r="H95" i="1"/>
  <c r="G96" i="1"/>
  <c r="H96" i="1"/>
  <c r="G97" i="1"/>
  <c r="H97" i="1"/>
  <c r="G98" i="1"/>
  <c r="H98" i="1"/>
  <c r="G99" i="1"/>
  <c r="H99" i="1"/>
  <c r="G100" i="1"/>
  <c r="H100" i="1"/>
  <c r="G101" i="1"/>
  <c r="H101" i="1"/>
  <c r="G102" i="1"/>
  <c r="H102" i="1"/>
  <c r="G103" i="1"/>
  <c r="H103" i="1"/>
  <c r="G104" i="1"/>
  <c r="H104" i="1"/>
  <c r="G105" i="1"/>
  <c r="H105" i="1"/>
  <c r="G106" i="1"/>
  <c r="H106" i="1"/>
  <c r="G107" i="1"/>
  <c r="H107" i="1"/>
  <c r="G108" i="1"/>
  <c r="H108" i="1"/>
  <c r="G109" i="1"/>
  <c r="H109" i="1"/>
  <c r="G110" i="1"/>
  <c r="H110" i="1"/>
  <c r="G111" i="1"/>
  <c r="H111" i="1"/>
  <c r="G112" i="1"/>
  <c r="H112" i="1"/>
  <c r="G113" i="1"/>
  <c r="H113" i="1"/>
  <c r="G114" i="1"/>
  <c r="H114" i="1"/>
  <c r="G115" i="1"/>
  <c r="H115" i="1"/>
  <c r="G116" i="1"/>
  <c r="H116" i="1"/>
  <c r="G117" i="1"/>
  <c r="H117" i="1"/>
  <c r="G118" i="1"/>
  <c r="H118" i="1"/>
  <c r="G119" i="1"/>
  <c r="H119" i="1"/>
  <c r="G120" i="1"/>
  <c r="H120"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0" i="1"/>
  <c r="E9" i="1"/>
</calcChain>
</file>

<file path=xl/sharedStrings.xml><?xml version="1.0" encoding="utf-8"?>
<sst xmlns="http://schemas.openxmlformats.org/spreadsheetml/2006/main" count="376" uniqueCount="376">
  <si>
    <t>idx</t>
  </si>
  <si>
    <t>question</t>
  </si>
  <si>
    <t>answer</t>
  </si>
  <si>
    <t>ground_truth</t>
  </si>
  <si>
    <t>faithfulness</t>
  </si>
  <si>
    <t>answer_relevancy</t>
  </si>
  <si>
    <t>context_precision</t>
  </si>
  <si>
    <t>context_recall</t>
  </si>
  <si>
    <t>ndcg</t>
  </si>
  <si>
    <t>ndcg@3</t>
  </si>
  <si>
    <t>ndcg@5</t>
  </si>
  <si>
    <t>recall@3</t>
  </si>
  <si>
    <t>recall@5</t>
  </si>
  <si>
    <t>citation_precision</t>
  </si>
  <si>
    <t>ais_recall</t>
  </si>
  <si>
    <t>ais_f1</t>
  </si>
  <si>
    <t>latency_sec</t>
  </si>
  <si>
    <t>num_chunks</t>
  </si>
  <si>
    <t>num_cited</t>
  </si>
  <si>
    <t>When must students pay their tuition fee after receiving the fee invoice on QALAM?</t>
  </si>
  <si>
    <t>Students must pay their tuition fee in full, including any outstanding dues, on receipt of the fee invoice on QALAM and informed through email / SMS message [1]. The invoices shall be issued 15 days prior to the closure of running semester [2]. Total time available is 15 days plus semester break and first two weeks of the start of the semester from the date of issue [3].</t>
  </si>
  <si>
    <t>The fee must be paid in full, including outstanding dues, within the available time window after invoice issuance on QALAM.</t>
  </si>
  <si>
    <t>How far in advance are invoices issued before the closure of the running semester?</t>
  </si>
  <si>
    <t>The invoices shall be issued 15 days prior to the closure of running semester [1]. This means that for the summer semester, the fee will be issued in the third week of the semester after registering of courses [2].</t>
  </si>
  <si>
    <t>Invoices are issued 15 days prior to the closure of the running semester.</t>
  </si>
  <si>
    <t>Who is charged in advance on an annual basis under the NUST fee policy?</t>
  </si>
  <si>
    <t>International students are charged in advance on an annual basis. This is stated in the fee policy, where it is mentioned that international students are charged in advance on an annual basis [1]. This is in accordance with the fee policy, which states that international students are charged in advance on an annual basis [2].</t>
  </si>
  <si>
    <t>International students are charged in advance on an annual basis.</t>
  </si>
  <si>
    <t>When is the summer semester fee issued according to the policy?</t>
  </si>
  <si>
    <t>The summer semester fee will be issued in the third week of the semester after registering of courses [1]. The invoices shall be issued 15 days prior to the closure of running semester [2]. For summer semester, fee will be issued in third week of the semester after registering of courses [3].</t>
  </si>
  <si>
    <t>Summer semester fee is issued in the third week of the semester after course registration.</t>
  </si>
  <si>
    <t>What should a student do if they cannot pay the fee by the due date due to financial challenges?</t>
  </si>
  <si>
    <t>If a student cannot pay the fee by the due date due to financial challenges, they must seek other options of paying in instalments / fee deferment up to 50% etc, through the institute [1]. They can approach the school / college accounts branch for submitting an application to the fee section main office for paying fee in instalments [2]. The payment schedule that is satisfactory to the University when agreed shall be honoured by the student [3].</t>
  </si>
  <si>
    <t>They must seek options such as instalments or fee deferment through the institute.</t>
  </si>
  <si>
    <t>What happens if fees are paid after 15 days from invoice issuance?</t>
  </si>
  <si>
    <t>If fees are paid after 15 days from invoice issuance, a 2% late fee will be charged on the total payable amount [4]. This is in accordance with the fee policy, which states that all students must pay their fees / dues by the due date [2]. If any student is unable to pay the fee / dues by the due date, due to financial challenges, he / she must seek other options of paying in instalments / fee deferment up to 50% etc, through the institute [2].</t>
  </si>
  <si>
    <t>A 2% fine is applied on the total payable amount if dues are deposited after 15 days.</t>
  </si>
  <si>
    <t>What sanction is applied to students who fail to deposit fees by the end of the extended time?</t>
  </si>
  <si>
    <t>Sanction will be placed on all those students who failed to deposit the fee by end of extended time by not allowing to register for the semester or withholding of academic activities in case of PG students by the institute. [1] In case of deposit of dues within first two weeks, attendance will be marked as under: - 'Present', will be marked from the day of deposit of dues. [2] No student would be allowed to register for the semester after expiry of extended time, i.e by end 2nd week of the semes</t>
  </si>
  <si>
    <t>A sanction is placed, and the student is not allowed to register for the semester (or academic activities are withheld for PG).</t>
  </si>
  <si>
    <t>How much of the semester fee must students pay to keep registration intact if the semester is suspended?</t>
  </si>
  <si>
    <t>Students must pay 25% of the fee for the suspended semester to keep the registration intact [1].</t>
  </si>
  <si>
    <t>Students must pay 25% of the fee for the suspended semester to keep their registration intact.</t>
  </si>
  <si>
    <t>From which day is attendance marked as 'Present' for students who pay dues late?</t>
  </si>
  <si>
    <t>In case of deposit of dues within first two weeks, attendance will be marked as under: - ‚ÄòPresent‚Äô, will be marked from the day of deposit of dues. [1] Days before the deposit day from the start of the semester will be marked as ‚ÄòAbsent‚Äô. [2] This means attendance is marked as 'Present' from the day of deposit of dues, [1] which is the day of deposit of dues, [1] and not from the start of the semester. [2]</t>
  </si>
  <si>
    <t>Attendance is marked 'Present' from the day the dues are deposited.</t>
  </si>
  <si>
    <t>What academic activities may be withheld for PG students who have not cleared outstanding dues?</t>
  </si>
  <si>
    <t>Qualifier, thesis defence, and other remaining academic activities will be withheld until clearance of outstanding dues for PG students who have not cleared their outstanding dues [1]. This includes withholding of final thesis defence [2] and final result notification [3].</t>
  </si>
  <si>
    <t>For PG students, activities like qualifiers, thesis defence, and final result notification may be withheld until dues are cleared.</t>
  </si>
  <si>
    <t>When are students informed about the issuance of their fee invoice on QALAM?</t>
  </si>
  <si>
    <t>Students are informed about the issuance of their fee invoice on QALAM through email / SMS message [1]. The invoices shall be issued 15 days prior to the closure of running semester [2].</t>
  </si>
  <si>
    <t>Students are informed about fee invoice issuance on QALAM through email and SMS notifications.</t>
  </si>
  <si>
    <t>Are students allowed to register for a semester without depositing their university dues?</t>
  </si>
  <si>
    <t>No, students will only be allowed to register for the semester after deposit of university dues [1]. This is stated in the policy that 'Students will only be allowed to register for the semester after deposit of university dues' [2].</t>
  </si>
  <si>
    <t>Students are not allowed to register for a semester unless all university dues have been deposited.</t>
  </si>
  <si>
    <t>Who should students contact if they find an error or anomaly in their fee invoice?</t>
  </si>
  <si>
    <t>Students should contact the account officer immediately for rectification / removal of errors from Fin Dte. After correction, revised fee invoice will be issued by Fin Dte on QALAM. [1] If any issue is reported to the account officer, it will be rectified immediately. [2] The account officer will handle the rectification of anomalies. [3] Students will be issued a revised fee invoice after correction. [4]</t>
  </si>
  <si>
    <t>Students should immediately report any fee invoice anomaly to the Account Officer for rectification.</t>
  </si>
  <si>
    <t>After correction of a fee anomaly, who issues the revised fee invoice on QALAM?</t>
  </si>
  <si>
    <t>After correction of a fee anomaly, the revised fee invoice will be issued by the Financial Department (Fin Dte) [1].</t>
  </si>
  <si>
    <t>After correction, the Finance Directorate issues the revised fee invoice on QALAM.</t>
  </si>
  <si>
    <t>Which office should a student approach to apply for payment of fees in instalments?</t>
  </si>
  <si>
    <t>A student in case of any financial difficulties can immediately approach school / college accounts branch for submitting application to Fin Dte / fee section main office for paying fee in instalments [3].</t>
  </si>
  <si>
    <t>A student should approach the school or college accounts branch to apply for payment in instalments.</t>
  </si>
  <si>
    <t>What condition must a student fulfill once an instalment schedule is approved by the university?</t>
  </si>
  <si>
    <t>The student must honour the payment schedule that is satisfactory to the University when agreed [1].</t>
  </si>
  <si>
    <t>Once approved, the student must strictly honor the instalment payment schedule agreed with the university.</t>
  </si>
  <si>
    <t>What additional charge is applied if fees are deposited after the initial 15-day period?</t>
  </si>
  <si>
    <t>A 2% charge is applied on the total payable amount if dues are deposited after 15 days of issuance of fee invoices till extended time expires by end 2nd week of the semester including semester break. [1] This charge is mentioned in [Source 4: 2% on the total payable amount if dues are deposited after 15 days of issuance of fee invoices till extended time expires by end 2nd week of the semester including semester break. [Source 4: a. 2% on the total payable amount if dues are deposited after 15 d</t>
  </si>
  <si>
    <t>A 2% surcharge is applied on the total payable amount if dues are deposited after the initial 15 days.</t>
  </si>
  <si>
    <t>Until when does the extended time for fee payment remain valid during the semester?</t>
  </si>
  <si>
    <t>The extended time for fee payment remains valid until the end of the 2nd week of the semester, including semester break. [1] This is mentioned in [Source 1] as 'till extended time expires by end 2nd week of the semester including semester break.' [2] Additionally, [Source 2] states that 'by not allowing to register for the semester or withholding of academic activities in case of PG students by the institute' if the fee is not deposited by the end of the extended time. [3]</t>
  </si>
  <si>
    <t>The extended time for fee payment lasts until the end of the second week of the semester, including the semester break.</t>
  </si>
  <si>
    <t>What restriction is imposed on students who fail to pay fees before the expiry of extended time?</t>
  </si>
  <si>
    <t>Students who fail to pay fees before the expiry of extended time will have their semester suspended, and they will pay 25% of the fee for the suspended semester to keep the registration intact [1]. They will also not be allowed to register for the semester after the expiry of extended time [2]. In case of PG students, their remaining academic activities will be withheld until clearance of outstanding dues [3].</t>
  </si>
  <si>
    <t>Students are not allowed to register for the semester, and PG students may have academic activities withheld.</t>
  </si>
  <si>
    <t>What is the registration status of a student whose semester is suspended due to non-payment?</t>
  </si>
  <si>
    <t>A student whose semester is suspended due to non-payment will have their registration status as suspended [1]. They will be required to pay 25% of the fee for the suspended semester to keep the registration intact [2].</t>
  </si>
  <si>
    <t>The semester is marked as suspended, but registration can remain intact subject to policy conditions.</t>
  </si>
  <si>
    <t>How are days prior to fee deposit marked in attendance records if dues are paid within the first two weeks?</t>
  </si>
  <si>
    <t>Days before the deposit day from the start of the semester will be marked as 'Absent' [2].</t>
  </si>
  <si>
    <t>Days before fee deposit are marked as 'Absent' if dues are paid within the first two weeks.</t>
  </si>
  <si>
    <t>What happens to a student‚Äôs registration if fees are not deposited by the end of the second week?</t>
  </si>
  <si>
    <t>If fees are not deposited by the end of the second week, a student will be de-registered with W grades along with outstanding fee [1]. In case of summer semester, if student don‚Äôt deposit the fee by due date after 2nd week, he/she will be de-registered with W grades along with outstanding fee [2].</t>
  </si>
  <si>
    <t>The student is not allowed to register for the semester and the semester status remains suspended.</t>
  </si>
  <si>
    <t>What requirement must PG students fulfill before their final thesis defence can be conducted?</t>
  </si>
  <si>
    <t>It will be mandatory for PG (MS/Ph D) students to clear the outstanding university dues before holding of final thesis defence. [1] In case of PG (MS/Ph D) students, if student don‚Äôt deposit the fee by due date after 2nd week, he/she will be de-registered with W grades along with outstanding fee. [2] In case of PG Student (MS or Ph D) is in research phase and not yet deposited the outstanding dues then his / her remaining academic activities (e.g., qualifier, thesis defence etc) will be withheld</t>
  </si>
  <si>
    <t>PG students must clear all outstanding university dues before final thesis defence is conducted.</t>
  </si>
  <si>
    <t>What are the academic and financial consequences if a student quits the summer semester within the first two weeks?</t>
  </si>
  <si>
    <t>If a student quits the summer semester within the first two weeks, the fee will be charged with no W grade and will be considered outstanding against the student in case of non-deposit [1]. This means that the student will not receive a W grade, but the fee will still be considered outstanding and will need to be paid [2].</t>
  </si>
  <si>
    <t>If a student quits within the first two weeks, the fee is charged without W grade and remains outstanding if unpaid.</t>
  </si>
  <si>
    <t>What is the purpose of the Protection against Harassment of Women at the Workplace Act, 2010?</t>
  </si>
  <si>
    <t>The purpose of the Protection against Harassment of Women at the Workplace Act, 2010 is to create a safe working environment for women, free of harassment, abuse, and intimidation, and to enable higher productivity and a better quality of life at work [1]. This Act aims to fulfill the right to work with dignity for women and open the path for them to participate more fully in the development of the country [2]. It also adheres to international labour standards and the empowerment of women [3].</t>
  </si>
  <si>
    <t>The purpose of the Act is to provide a safe and secure working environment for women by protecting them from harassment at the workplace.</t>
  </si>
  <si>
    <t>Which organizational bodies did NUST establish for implementing the Harassment Act?</t>
  </si>
  <si>
    <t>The organizational bodies established by NUST for implementing the Harassment Act are the Harassment Complaint Cell and the Inquiry Committee [1]. These bodies are fully functional in NUST, as approved by the NUST Board of Governors (BOG) meeting held on 03 February 2012 [2].</t>
  </si>
  <si>
    <t>NUST established a Harassment Complaint Cell and an Inquiry Committee.</t>
  </si>
  <si>
    <t>Where has NUST incorporated the harassment protection policy according to the PDF?</t>
  </si>
  <si>
    <t>NUST has incorporated the harassment protection policy in Chapter-10 of NUST Human Resource Handbook [1]. This handbook has been disseminated to all Institutions/Directorates of Main Office in accordance with the guidelines of HEC [2].</t>
  </si>
  <si>
    <t>The harassment protection policy has been incorporated in Chapter 10 of the NUST Human Resource Handbook.</t>
  </si>
  <si>
    <t>How soon must an Inquiry Committee be constituted after the enactment of the Act?</t>
  </si>
  <si>
    <t>Each organization shall constitute an Inquiry Committee within thirty days of the enactment of this Act [1].</t>
  </si>
  <si>
    <t>Each organization must constitute an Inquiry Committee within thirty days of the enactment of the Act.</t>
  </si>
  <si>
    <t>What is the required composition of the Inquiry Committee?</t>
  </si>
  <si>
    <t>The Inquiry Committee composition is not explicitly stated in the provided documents. However, it is mentioned that in case a complaint is made against one of the members of the Inquiry Committee, that member should be replaced by another for that particular case [3]. The replacement member may be from within or outside the organization [3].</t>
  </si>
  <si>
    <t>The Inquiry Committee must have three members, including at least one woman, one senior management member, and one senior employee or representative.</t>
  </si>
  <si>
    <t>Within how many days must an accused submit a written defense after receiving charges?</t>
  </si>
  <si>
    <t>The accused must submit a written defense within seven days from the day the charge is communicated to him [1].</t>
  </si>
  <si>
    <t>The accused must submit a written defense within seven days of receiving the charges.</t>
  </si>
  <si>
    <t>What confidentiality requirement does the Inquiry Committee follow during the inquiry?</t>
  </si>
  <si>
    <t>The Inquiry Committee follows the confidentiality requirement that the statements and other evidence acquired in the inquiry process shall be considered as confidential [1]. This means that the information gathered during the inquiry will be kept private and not disclosed to unauthorized parties [2].</t>
  </si>
  <si>
    <t>Statements and evidence collected during the inquiry must be treated as confidential.</t>
  </si>
  <si>
    <t>What types of penalties can the Inquiry Committee recommend if the accused is found guilty?</t>
  </si>
  <si>
    <t>The Inquiry Committee can recommend minor penalties such as censure, withholding promotion or increment, stoppage at an efficiency bar, and recovery of compensation payable to the complainant from the accused's pay or any other source [1]. If the accused is found guilty, the Inquiry Committee can also recommend major penalties including reduction to a lower post or time-scale, compulsory retirement, removal from service, dismissal from service, and fine [2]. A part of the fine can be used as com</t>
  </si>
  <si>
    <t>The Committee may recommend minor penalties such as censure or withholding promotion, and major penalties such as reduction in rank, compulsory retirement, removal, dismissal, or fines.</t>
  </si>
  <si>
    <t>Which authority can a party appeal to if aggrieved by penalties imposed by the Competent Authority?</t>
  </si>
  <si>
    <t>A party can appeal to the Ombudsman established under section 7 if aggrieved by penalties imposed by the Competent Authority. The Ombudsman may confirm, set aside, vary or modify the decision within thirty days in respect of which such appeal is made [1]. The Ombudsman may also recommend appropriate action against the complainant if allegations leveled against the accused found to be false and made with mala fide intentions [2].</t>
  </si>
  <si>
    <t>Any aggrieved party may appeal to the Ombudsman within thirty days of the decision.</t>
  </si>
  <si>
    <t>What responsibilities does the employer have regarding implementing the Code of Conduct?</t>
  </si>
  <si>
    <t>The employer's responsibility is to ensure implementation of this Act, including incorporating the Code of Conduct for protection against harassment at the workplace as a part of their management policy [1]. The employer must also form an Inquiry Committee and designate a competent authority [2]. Additionally, the employer must display copies of the Code in a conspicuous place within six months of the commencement of this Act [3].</t>
  </si>
  <si>
    <t>The employer must implement the Act, incorporate the Code of Conduct into policy, form an Inquiry Committee, designate a Competent Authority, and display the Code where employees can see it.</t>
  </si>
  <si>
    <t>Who approved the creation of organizational bodies at NUST for implementing the Harassment Act?</t>
  </si>
  <si>
    <t>The NUST Board of Governors (BOG) meeting held on 03 February 2012, has approved creation of organizational bodies required for implementation of the subject Act in NUST in accordance with the instructions of HEC [1]. This includes the creation of the Harassment Complaint Cell and the Inquiry Committee [2].</t>
  </si>
  <si>
    <t>The NUST Board of Governors approved the creation of organizational bodies for implementation of the Harassment Act.</t>
  </si>
  <si>
    <t>On which date was the Protection against Harassment of Women at the Workplace Act enacted?</t>
  </si>
  <si>
    <t>The Protection against Harassment of Women at the Workplace Act was enacted on 09 April 2010 [1].</t>
  </si>
  <si>
    <t>The Act was enacted on 9 April 2010.</t>
  </si>
  <si>
    <t>To which geographical extent does the Harassment Act apply?</t>
  </si>
  <si>
    <t>The Protection against Harassment of Women at Workplace Act, 2010, extends to the whole of Pakistan [1].
*Note: No specific sources were cited for this answer.*</t>
  </si>
  <si>
    <t>The Act extends to the whole of Pakistan.</t>
  </si>
  <si>
    <t>Who qualifies as a complainant under the Act?</t>
  </si>
  <si>
    <t>I don't have enough information in the provided documents to answer that question.
*The retrieved content has low relevance (best score: 29%). This suggests your question may be outside the scope of the available documents, which focus on university policies and procedures.*</t>
  </si>
  <si>
    <t>A complainant is a woman or man who has made a complaint to the Ombudsman or Inquiry Committee after being aggrieved by harassment.</t>
  </si>
  <si>
    <t>Who can be designated as the Competent Authority under the Act?</t>
  </si>
  <si>
    <t>In case where no competent authority is designated the organization shall within thirty days of the enactment of this Act designate a competent authority [1]. This competent authority can be from within or outside the organization [2].</t>
  </si>
  <si>
    <t>The Competent Authority is an authority designated by the management for the purposes of the Act.</t>
  </si>
  <si>
    <t>Can a complaint of harassment be filed by a man according to the Act?</t>
  </si>
  <si>
    <t>I don't have enough information in the provided documents to answer that question.
*The retrieved content has low relevance (best score: 28%). This suggests your question may be outside the scope of the available documents, which focus on university policies and procedures.*</t>
  </si>
  <si>
    <t>Yes, a complaint of harassment may be filed by either a woman or a man under the Act.</t>
  </si>
  <si>
    <t>What action is taken if a complaint is made against a member of the Inquiry Committee?</t>
  </si>
  <si>
    <t>In case a complaint is made against one of the members of the Inquiry Committee, that member should be replaced by another for that particular case. This replacement can be from within or outside the organization [1]. The organization shall designate a competent authority within thirty days of the enactment of this Act if no competent authority is designated [2].</t>
  </si>
  <si>
    <t>If a complaint is made against a member of the Inquiry Committee, that member is replaced for that particular case.</t>
  </si>
  <si>
    <t>Within how many days must the Inquiry Committee communicate charges to the accused after receiving a complaint?</t>
  </si>
  <si>
    <t>The Inquiry Committee must communicate charges to the accused within three days of receipt of a written complaint [1].</t>
  </si>
  <si>
    <t>The Inquiry Committee must communicate the charges to the accused within three days of receiving a written complaint.</t>
  </si>
  <si>
    <t>What happens if the accused fails to submit a written defense without reasonable cause?</t>
  </si>
  <si>
    <t>The Inquiry Committee shall proceed ex-parte if the accused fails to submit a written defense without reasonable cause [1]. This means that the Committee will continue with the inquiry without the accused's input or defense [2].</t>
  </si>
  <si>
    <t>If the accused fails to submit a written defense without reasonable cause, the Inquiry Committee may proceed ex parte.</t>
  </si>
  <si>
    <t>Within how many days must the Inquiry Committee submit its findings to the Competent Authority?</t>
  </si>
  <si>
    <t>The Inquiry Committee shall submit its findings to the Competent Authority within thirty days of the initiation of inquiry [1].</t>
  </si>
  <si>
    <t>The Inquiry Committee must submit its findings and recommendations within thirty days of initiation of the inquiry.</t>
  </si>
  <si>
    <t>What support must the organization provide if a complainant is found to be in trauma?</t>
  </si>
  <si>
    <t>The organization must arrange for psycho-social counseling or medical treatment and for additional medical leave if a complainant is found to be in trauma [7]. The organization may also offer compensation to the complainant in case of loss of salary or other damages [8].
*Note: No specific sources were cited for this answer.*</t>
  </si>
  <si>
    <t>The organization must arrange psycho-social counseling, medical treatment, and additional medical leave if required.</t>
  </si>
  <si>
    <t>What power does the Inquiry Committee have regarding summoning individuals?</t>
  </si>
  <si>
    <t>The Inquiry Committee has the power to summon and enforce attendance of any person and examine him on oath [1]. This power is stated in sub-section (1) of the Powers of the Inquiry Committee [2].</t>
  </si>
  <si>
    <t>The Inquiry Committee has the power to summon and enforce the attendance of any person and examine them on oath.</t>
  </si>
  <si>
    <t>Can the Inquiry Committee recommend action if allegations are found to be false and mala fide?</t>
  </si>
  <si>
    <t>Yes, the Inquiry Committee may recommend to Ombudsman for appropriate action against the complainant if allegations leveled against the accused found to be false and made with mala fide intentions [3].</t>
  </si>
  <si>
    <t>Yes, the Inquiry Committee may recommend action to the Ombudsman if allegations are found to be false and made with mala fide intentions.</t>
  </si>
  <si>
    <t>What languages must the Code of Conduct be displayed in at the workplace?</t>
  </si>
  <si>
    <t>The Code of Conduct must be displayed in English as well as in the language understood by the majority of employees at the workplace [1]. This is as per the provisions of the Protection against Harassment of Women at Workplace Act [2].</t>
  </si>
  <si>
    <t>The Code of Conduct must be displayed in English as well as in a language understood by the majority of employees.</t>
  </si>
  <si>
    <t>What is the eligibility requirement for a national applicant applying for the inbound programme at NUST?</t>
  </si>
  <si>
    <t>A national applicant must be enrolled in an undergraduate / MS / Ph D program at a PEC/ HEC accredited University in Pakistan [1]. They must also have completed 1st year of studies i.e. two semesters as a full-time student in parent University [2]. Additionally, they must possess a good academic standing at parent university [3].</t>
  </si>
  <si>
    <t>A national applicant must be enrolled in an undergraduate, MS, or PhD programme at a PEC or HEC accredited university in Pakistan.</t>
  </si>
  <si>
    <t>What academic standing must an undergraduate student meet to be eligible for the inbound programme?</t>
  </si>
  <si>
    <t>An undergraduate student must have completed 1st year of studies i.e. two semesters as a full-time student in parent University [1]. This is as per the eligibility criteria for National Applicants [2].</t>
  </si>
  <si>
    <t>Undergraduate students must have completed the first year of studies, i.e., two semesters as full-time students.</t>
  </si>
  <si>
    <t>What is the maximum number of credit hours an inbound student may take in a semester?</t>
  </si>
  <si>
    <t>Inbound students may take a maximum of credit hours as per the HEC allowable limit in one semester [1]. This means they can take up to the maximum allowed by the Higher Education Commission (HEC) [2].</t>
  </si>
  <si>
    <t>Inbound students may take a maximum number of credit hours as per the HEC allowable limit.</t>
  </si>
  <si>
    <t>What documents must be submitted along with the online inbound application?</t>
  </si>
  <si>
    <t>The documents that must be submitted along with the online inbound application are the official transcript of already studied semester and NOC from parent university [1].</t>
  </si>
  <si>
    <t>Applicants must submit an official transcript of completed semesters and an NOC from their parent university.</t>
  </si>
  <si>
    <t>What is the application processing fee for domestic applicants?</t>
  </si>
  <si>
    <t>The application processing fee for domestic applicants is Rs. 3000 (non-refundable) [1]. This fee is mentioned in the section 'Payment of Application Processing Fee' under the 'Downloads &gt; Forms' section [2].</t>
  </si>
  <si>
    <t>Domestic applicants must pay a non-refundable application processing fee of Rs. 3000.</t>
  </si>
  <si>
    <t>How early before the semester must inbound applicants submit their application?</t>
  </si>
  <si>
    <t>Inbound applicants must submit their application at least one month prior to the commencement of the semester [1]. This is as per the policy stated in [Source 2] under point d. Submission Deadline: Applicants intending to join a semester or course at NUST shall submit application to Main Office, Registrar Dte (Registration Branch for UG, MS Branch for MS) and Acad Dte, Ph D branch, preferably one month prior to the commencement of the semester.</t>
  </si>
  <si>
    <t>Applications should preferably be submitted one month prior to the commencement of the semester.</t>
  </si>
  <si>
    <t>What is the role of the respective institute in the application evaluation process?</t>
  </si>
  <si>
    <t>The respective institute will evaluate the application and communicate its recommendations to the Main Office for further processing and final approval / decision [1]. This involves reviewing the application and making a decision on whether to offer the required course(s) / research work [2].</t>
  </si>
  <si>
    <t>The respective institute evaluates the application and sends recommendations to the Main Office for approval.</t>
  </si>
  <si>
    <t>What is the minimum attendance requirement for each course during the inbound stay?</t>
  </si>
  <si>
    <t>The minimum attendance requirement for each course during the inbound stay is 75% as per NUST policy [1]. This is a mandatory requirement [2].</t>
  </si>
  <si>
    <t>Students must maintain at least 75% attendance in each course.</t>
  </si>
  <si>
    <t>Under what condition may an inbound student extend their stay for another semester?</t>
  </si>
  <si>
    <t>An inbound student may extend their stay for another semester subject to approval from both their parent university and NUST, provided the request is submitted at least one month prior to the end of the current semester. [1] The request must be submitted at least one month prior to the end of the current semester. [2] Inbound students may request an extension of their visit for an additional semester, subject to approval from both their parent university and NUST. [3]</t>
  </si>
  <si>
    <t>An extension may be granted if requested at least one month before the semester ends and approved by both the parent university and NUST.</t>
  </si>
  <si>
    <t>Are international inbound research students charged any tuition fee?</t>
  </si>
  <si>
    <t>No, international enrolled inbound research students are not charged any tuition fee [1].</t>
  </si>
  <si>
    <t>No tuition fee is charged to international inbound students undertaking research work.</t>
  </si>
  <si>
    <t>What level of study can international applicants be enrolled in to qualify for the inbound programme?</t>
  </si>
  <si>
    <t>International applicants can be enrolled in undergraduate, MS, or PhD programs to qualify for the inbound programme. [1] They must be enrolled in an undergraduate / MS / PhD program at International University. [2] This is stated in the eligibility criteria for international applicants. [3]</t>
  </si>
  <si>
    <t>International applicants must be enrolled in an undergraduate, MS, or PhD programme at an international university.</t>
  </si>
  <si>
    <t>How many semesters must MS or PhD students complete at their parent university before applying as inbound students?</t>
  </si>
  <si>
    <t>MS /Ph D students must have completed one semester as a full-time student in parent University [1].</t>
  </si>
  <si>
    <t>MS or PhD students must have completed at least one full-time semester at their parent university.</t>
  </si>
  <si>
    <t>What type of enrollment status is granted to inbound students at NUST?</t>
  </si>
  <si>
    <t>Inbound students are granted a temporary enrollment status at NUST [1]. This means they will be registered temporarily at NUST [2].</t>
  </si>
  <si>
    <t>Inbound students are granted temporary enrollment at NUST.</t>
  </si>
  <si>
    <t>Can inbound students select courses from any NUST institute?</t>
  </si>
  <si>
    <t>Inbound students may select courses offered by NUST institutes [1]. This is mentioned in the Salient Aspects section of the Inbound Policy [2].</t>
  </si>
  <si>
    <t>Yes, inbound students may select courses offered by NUST institutes.</t>
  </si>
  <si>
    <t>Are courses completed during the inbound period counted toward future enrollments at NUST?</t>
  </si>
  <si>
    <t>No, courses completed during the inbound period will not be credited towards future enrollments at NUST [1]. This is stated in the Inbound Policy ‚Äì NUST [2].</t>
  </si>
  <si>
    <t>No, courses completed at NUST during the inbound period are not credited toward future enrollments at NUST.</t>
  </si>
  <si>
    <t>What fee policy applies to inbound students taking courses at NUST?</t>
  </si>
  <si>
    <t>The fee policy for inbound students taking courses at NUST is per credit hour for national and international students, as per the Fee policy. International students applying from partner universities, however, will be charged as per the agreement. [1] Course fee will be charged as per Fee policy i.e. per credit hour for national and international students. International students applying from partner universities, fee will be charged as per the agreement. [2] Fee: Course fee will be charged as p</t>
  </si>
  <si>
    <t>Course fees are charged per credit hour in accordance with the NUST fee policy.</t>
  </si>
  <si>
    <t>What additional refundable fee must national inbound students submit?</t>
  </si>
  <si>
    <t>National inbound students must submit a Security Fee of Rs. 5000 [1].</t>
  </si>
  <si>
    <t>National inbound students must submit a refundable security fee of Rs. 5000.</t>
  </si>
  <si>
    <t>Which offices receive copies of the approval and registration information after acceptance?</t>
  </si>
  <si>
    <t>Upon approval, applicant registration (Qalam Regn no.) will be communicated to the relevant institution, with copies forwarded to the following directorates and offices for necessary actions: Adm / Field Adm Directorate, Fee Manager/Finance Directorate, and Examination Dte [1].</t>
  </si>
  <si>
    <t>Copies are forwarded to the Administration/Field Administration Directorate, Finance Directorate, and Examination Directorate.</t>
  </si>
  <si>
    <t>Who issues the fee voucher for approved inbound students?</t>
  </si>
  <si>
    <t>I don't have enough information in the provided documents to answer that question.
*The retrieved content has low relevance (best score: 22%). This suggests your question may be outside the scope of the available documents, which focus on university policies and procedures.*</t>
  </si>
  <si>
    <t>The Finance Directorate issues the fee voucher for approved inbound students.</t>
  </si>
  <si>
    <t>Which directorate issues the transcript after completion of courses or research work?</t>
  </si>
  <si>
    <t>The Examination Directorate issues the transcript after completion of courses or research work [1].</t>
  </si>
  <si>
    <t>The Examination Directorate issues the transcript after completion of courses or research work.</t>
  </si>
  <si>
    <t>What is the minimum attendance percentage required according to NUST policy?</t>
  </si>
  <si>
    <t>The minimum attendance percentage required according to NUST policy is 75% as per NUST policy [1]. This is a mandatory requirement for all courses [2].</t>
  </si>
  <si>
    <t>A minimum of 75% attendance in each course is mandatory.</t>
  </si>
  <si>
    <t>When must a request for extension of inbound stay be submitted?</t>
  </si>
  <si>
    <t>A request for extension of inbound stay must be submitted at least one month prior to the end of the current semester [1].</t>
  </si>
  <si>
    <t>The extension request must be submitted at least one month prior to the end of the current semester.</t>
  </si>
  <si>
    <t>What approval is required for inbound research students to undertake a research visit at NUST?</t>
  </si>
  <si>
    <t>Inbound research students must obtain approval from their parent university and host supervisor/institute at NUST to undertake a research visit at NUST. The NUST supervisor shall also authorize lab use and ensure adherence to safety/security of the facility/equipment. [1] The request must be submitted at least one month prior to the end of the current semester. [2] Completion of visit must be reported to Main Office (DASR/Registrar Dte) by the concerned institute/supervisor. [3]</t>
  </si>
  <si>
    <t>Inbound research students require approval from their parent university and the host supervisor or institute at NUST.</t>
  </si>
  <si>
    <t>Who is responsible for authorizing lab use and ensuring safety for inbound research students?</t>
  </si>
  <si>
    <t>The NUST supervisor shall authorize lab use and ensure adherence to safety / security of the facility / equipment [1]. This responsibility is explicitly stated in the policy for inbound research students [2].</t>
  </si>
  <si>
    <t>The NUST supervisor is responsible for authorizing lab use and ensuring safety and security of facilities and equipment.</t>
  </si>
  <si>
    <t>Why does NUST consider a Code of Ethics essential for its academic community?</t>
  </si>
  <si>
    <t>The current notion of knowledge-based economy driven by the fast pace of globalization, technological strides and market forces seems to dilute the sensitivity of universities towards fostering a community of ethically mature and inspired community‚Äî higher education leaders, faculty, staff and students. This trend dictates an urgent need for the entire academic community to raise their level of ethical self-awareness in order to act with integrity and develop objective consciousness to look into</t>
  </si>
  <si>
    <t>NUST considers a Code of Ethics essential to foster an ethically mature community capable of making sound, responsible decisions within the university and wider society.</t>
  </si>
  <si>
    <t>What broad values form the foundation of the NUST Code of Ethics?</t>
  </si>
  <si>
    <t>The broad values that form the foundation of the NUST Code of Ethics are service, social justice, dignity and worth of the person, importance of human relationships, integrity, and competence [1]. These values are based on the University's core values and are essential for creating a desirable ethical environment [2]. The NUST Code of Ethics aims to inform faculty, students, and administrative staff of their ethical obligations in their respective spheres of responsibility [3].</t>
  </si>
  <si>
    <t>The Code is founded on the values of service, social justice, dignity and worth of the person, human relationships, integrity, competence, and discipline and respect for law.</t>
  </si>
  <si>
    <t>What professional qualities does NUST expect from its teaching faculty?</t>
  </si>
  <si>
    <t>NUST expects its teaching faculty to demonstrate good moral character, maintain high standards of performance, and strive to become and remain proficient in professional practice, keeping current with emerging knowledge relevant to the profession [1]. They should also avoid making fraudulent statements, participating in dishonesty, or discriminating against individuals based on various factors [2]. Furthermore, faculty members should accept responsibility or employment only on the basis of compe</t>
  </si>
  <si>
    <t>Faculty are expected to be morally upright, professionally competent, fair, diligent, and committed to providing equal educational opportunity.</t>
  </si>
  <si>
    <t>According to the Code, what must faculty avoid when dealing with students?</t>
  </si>
  <si>
    <t>Faculty must avoid passing derogatory or indecent remarks on any student [1]. They should not ridicule or demoralize the students for their academic weaknesses [2]. Faculty must also not use derogatory language in their written or verbal communications to or about clients [3].</t>
  </si>
  <si>
    <t>Faculty must avoid discrimination, derogatory language, corporal punishment, sexual harassment, exploitation, and misuse of confidential information.</t>
  </si>
  <si>
    <t>What is one major obligation of faculty under the Commitment to Colleagues section?</t>
  </si>
  <si>
    <t>Faculty members shall treat colleagues with respect and represent accurately and fairly the qualifications, views, and obligations of colleagues. [1] They shall also avoid unwarranted negative criticism of colleagues in communications with clients or with other professionals. [2] This includes demeaning comments with regard to colleagues' level of competence or attributes such as race, ethnicity, national origin, colour, sex, age, marital status, political belief, religion, immigration status, a</t>
  </si>
  <si>
    <t>Faculty must treat colleagues with respect, avoid unwarranted criticism, cooperate professionally, and maintain confidentiality shared during professional interactions.</t>
  </si>
  <si>
    <t>What responsibility does a faculty member have toward the public?</t>
  </si>
  <si>
    <t>A faculty member shall devote every effort to raise professional standards, to improve service, to promote a favourable climate for the exercise of professional judgment, and to bring about conditions holding out attraction for persons worthy of the trust to join careers in education. They shall also not use institutional privileges for private gain or to promote political candidates, political issues, sectarian, ethnic or partisan activities, and shall take all possible care to distinguish betw</t>
  </si>
  <si>
    <t>Faculty must promote respect for law, uphold integrity, use duty time responsibly, distinguish personal views from institutional views, and avoid political or sectarian influence.</t>
  </si>
  <si>
    <t>What conduct is required from students regarding honesty and integrity?</t>
  </si>
  <si>
    <t>Students are required to maintain the highest standards of honesty and integrity while representing themselves as a member of NUST community [1]. They will strive for these standards in their representations, academic pursuits, and respect for the property and individual rights of others [2]. The student will uphold and actively follow the specific principles described in the Code [3].</t>
  </si>
  <si>
    <t>Students must maintain honesty, integrity, respect for others‚Äô rights and property, and uphold the highest standards in academic and personal conduct.</t>
  </si>
  <si>
    <t>Which behaviours are considered academic misconduct under the student code?</t>
  </si>
  <si>
    <t>Academic misconduct under the student code includes behaviours such as falsification, fabrication, or dishonesty in creating or reporting laboratory results, research results, and/or any other assignments [3]. This also includes serving as, or enlisting the assistance of, a substitute for a student in any graded assignments [3]. Furthermore, alteration of grades or marks by the student in an effort to change the earned grade or credit, and alteration of academically related university forms or r</t>
  </si>
  <si>
    <t>Academic misconduct includes cheating, plagiarism, using unauthorized materials, falsifying results, submitting the same work twice, altering grades, and assisting others dishonestly.</t>
  </si>
  <si>
    <t>What is the jurisdiction of the student Code of Conduct?</t>
  </si>
  <si>
    <t>The jurisdiction of the student Code of Conduct includes on-campus conduct of all registered students, as well as off-campus conduct in direct connection with academic course requirements, research, or activities sponsored by the university. [1] The code applies to the on-campus conduct of all registered students, including the individuals using university academic resources. [2] Students continue to be subject to city, state laws while at the university, and violations of those laws may also co</t>
  </si>
  <si>
    <t>The student Code of Conduct applies to on-campus behaviour and off-campus activities related to academics, university-related events, safety risks, or criminal actions.</t>
  </si>
  <si>
    <t>How does the Code define a 'student' for disciplinary purposes?</t>
  </si>
  <si>
    <t>A student is defined as an individual who has paid an acceptance fee, registered for classes, or otherwise entered into any contractual relationship with the university [1]. This definition also includes individuals who are eligible to receive any of the rights and privileges afforded a person who is enrolled at the university [2]. Student status lasts until an individual graduates, is dismissed, or is not in attendance for two complete, consecutive semesters [3].</t>
  </si>
  <si>
    <t>A student is any individual who has accepted admission, registered for classes, or entered a contractual relationship with the university, including newly admitted students attending orientation.</t>
  </si>
  <si>
    <t>What principle does the NUST Code of Ethics emphasize to guide decision-making within the university?</t>
  </si>
  <si>
    <t>The NUST Code of Ethics emphasizes the principle of promoting sensitivity to and knowledge about oppression and cultural and ethnic diversity, as well as treating one another in a caring and respectful manner, deferring to individual differences, as well as cultural and ethnic diversity [1]. This principle is based on the University's core values of service, social justice, dignity and worth of the person, importance of human relationships, integrity, and competence [2]. Faculty, students, and a</t>
  </si>
  <si>
    <t>The Code emphasizes ethical conduct and integrity to guide decisions and actions within the university.</t>
  </si>
  <si>
    <t>Who is required to comply with the NUST Code of Ethics?</t>
  </si>
  <si>
    <t>The NUST Code of Ethics applies to all members of the university, including faculty, students, and administrators. They are expected to serve the cause of education, promote sensitivity to and knowledge about oppression and cultural and ethnic diversity, and treat one another in a caring and respectful manner. [1] They must also continually seek to enhance their professional knowledge and skills. [2] The administrators are expected to deliver at their best in their respective spheres, and strive</t>
  </si>
  <si>
    <t>The Code of Ethics applies to all members of the NUST academic community, including faculty, staff, and students.</t>
  </si>
  <si>
    <t>What role does mutual respect play in the academic environment according to the Code?</t>
  </si>
  <si>
    <t>Mutual respect plays a crucial role in the academic environment as it entails treating colleagues with respect and representing them accurately and fairly [1]. This is essential for building a positive environment where faculty members can work together effectively [2]. The code also emphasizes the importance of avoiding unwarranted negative criticism of colleagues [3].</t>
  </si>
  <si>
    <t>Mutual respect is required to ensure a productive, inclusive, and professional academic environment.</t>
  </si>
  <si>
    <t>What responsibility does faculty have regarding fairness in evaluation?</t>
  </si>
  <si>
    <t>Faculty members have a responsibility to treat all students fairly without any prejudice or discrimination on the basis of colour, race, gender, sect etc. [1] They shall also not manhandle or inflict on students any corporal punishment [2]. Furthermore, they should not engage students assigned to their care for remuneration, unless approved by the administration [3].</t>
  </si>
  <si>
    <t>Faculty are required to evaluate students fairly, objectively, and without favoritism.</t>
  </si>
  <si>
    <t>What stance does the Code take on discrimination within the university?</t>
  </si>
  <si>
    <t>The Code does not explicitly mention discrimination within the university. However, it does mention that students continue to be subject to city, state laws while at the university, and violations of those laws may also constitute violations of the code [1]. This implies that the university may take disciplinary action for conduct that is also illegal under local laws, but it does not specifically address discrimination [2]. The Code also mentions that any student found to have engaged in prohib</t>
  </si>
  <si>
    <t>The Code strictly prohibits discrimination on any grounds within the university.</t>
  </si>
  <si>
    <t>What obligation do faculty members have regarding confidentiality?</t>
  </si>
  <si>
    <t>Faculty members shall keep in confidence personally identifiable information that has been obtained in the course of professional service, unless disclosure serves professional purposes, or is required by law. [1] They shall also treat all students fairly without any prejudice or discrimination on the basis of colour, race, gender, sect etc. [2] This implies that they must maintain confidentiality in their professional dealings. [3]</t>
  </si>
  <si>
    <t>Faculty members must respect confidentiality of student information and academic records.</t>
  </si>
  <si>
    <t>What is expected from faculty in terms of professional competence?</t>
  </si>
  <si>
    <t>Faculty members are expected to strive to become and remain proficient in professional practice, keeping current with emerging knowledge relevant to the profession [1]. They should accept responsibility or employment only on the basis of competence [2]. In compliance with their contractual and professional responsibilities, faculty members shall demonstrate good moral character, maintain high standards of performance, and pursue high academic standards [3].</t>
  </si>
  <si>
    <t>Faculty are expected to maintain high standards of professional competence and continuously improve their knowledge.</t>
  </si>
  <si>
    <t>What responsibility do students have toward university property?</t>
  </si>
  <si>
    <t>Students have a responsibility to respect university property and are subject to disciplinary action for any conduct that causes substantial destruction of property belonging to the university or members of the university community. [1] They are also expected to comply with city, state laws while at the university, and violations of those laws may also constitute violations of the code. [2] The university premises include all lands, buildings, facilities, and resources owned, leased, managed, or</t>
  </si>
  <si>
    <t>Students are required to protect and responsibly use university property and resources.</t>
  </si>
  <si>
    <t>What behavior is expected from students in interactions with faculty and staff?</t>
  </si>
  <si>
    <t>Students are expected to be treated fairly without prejudice or discrimination, and are given freedom to express their different point of view [3]. Faculty members are also expected to maintain a relationship of mutual respect and trust with students, and to treat them with respect [1].</t>
  </si>
  <si>
    <t>Students must behave respectfully and courteously toward faculty, staff, and fellow students.</t>
  </si>
  <si>
    <t>What does the Code say about misuse of academic resources by students?</t>
  </si>
  <si>
    <t>The Code prohibits students from engaging in activities that unfairly place other students at a disadvantage, such as taking, hiding or altering resource material, or manipulating a grading system [1]. This includes knowingly providing or receiving information during tests/examinations, or the possession and/or use of unauthorized materials during those examinations [2]. Additionally, students are not allowed to submit plagiarized work for an academic requirement, which includes the unacknowledg</t>
  </si>
  <si>
    <t>The misuse or unauthorized use of academic facilities and resources is prohibited.</t>
  </si>
  <si>
    <t>How does the Code address plagiarism and cheating?</t>
  </si>
  <si>
    <t>The Code addresses plagiarism and cheating by stating that submitting plagiarized work for an academic requirement is a violation [1]. It also defines plagiarism as the representation of another's work or ideas as one's own, including the unacknowledged word-for-word use and/or paraphrasing of another person's work, and/or the inappropriate unacknowledged use of another person's ideas [2]. Furthermore, the Code prohibits submitting substantially the same work to satisfy requirements for one cour</t>
  </si>
  <si>
    <t>Plagiarism, cheating, and any form of academic dishonesty are strictly prohibited.</t>
  </si>
  <si>
    <t>What expectation does the Code set regarding compliance with university rules?</t>
  </si>
  <si>
    <t>The Code sets an expectation that students must comply with university rules, as stated in the Code of Ethics, which prohibits violation of university rules, including misuse of computing resources, sexual harassment, and other prohibited conduct [1]. The university reserves the right to administer the code and proceed with the hearing process even if the student withdraws from the university, is no longer enrolled in classes, or subsequently fails to meet the definition of a student while a dis</t>
  </si>
  <si>
    <t>All members of the university are expected to comply with NUST rules, regulations, and policies.</t>
  </si>
  <si>
    <t>To whom does the Student Code of Conduct apply during academic activities?</t>
  </si>
  <si>
    <t>The Student Code of Conduct applies to all registered students, including those using university academic resources, during on-campus and off-campus academic activities, such as academic course requirements, internships, field trips, study abroad, student teaching, and any activity sponsored, conducted, or authorized by the university or by registered student organizations [1]. This includes activities that support the pursuit of a degree, such as research at another institution or a professiona</t>
  </si>
  <si>
    <t>The Student Code of Conduct applies to students during all academic and university-related activities.</t>
  </si>
  <si>
    <t>What authority is responsible for disciplinary action under the Student Code?</t>
  </si>
  <si>
    <t>The university reserves the right to administer the code and proceed with the hearing process even if the student withdraws from the university, is no longer enrolled in classes, or subsequently fails to meet the definition of a student while a disciplinary matter is pending [1]. Students continue to be subject to city, state laws while at the university, and violations of those laws may also constitute violations of the code [2]. The university may proceed with university disciplinary action un</t>
  </si>
  <si>
    <t>Disciplinary matters under the Student Code are handled by the relevant university disciplinary authorities.</t>
  </si>
  <si>
    <t>What is the key purpose of following proper dress norms in professional settings according to the booklet?</t>
  </si>
  <si>
    <t>Following proper dress norms in professional settings is essential to make a good impression and be received well by others, as it is the hallmark of a civilised person [3]. It is also important to dress elegantly and avoid gaudy colours, flamboyant patterns, and other inappropriate attire [1].</t>
  </si>
  <si>
    <t>Proper dress norms promote a respectable personal image, social responsibility, and professionalism, helping individuals gain respect and confidence.</t>
  </si>
  <si>
    <t>What are men recommended to wear on national celebrations or convocations?</t>
  </si>
  <si>
    <t>Men are recommended to wear a white kurta / kameez with collar, full sleeves and white shalwar on national celebrations or convocations. They can also wear a sherwani / achkan in black or any sober colour. Additionally, they should wear black shoes with black socks. A Jinnah cap is optional. [1] A white kurta / kameez with collar (band-collar), full sleeves and white shalwar. [2] Sherwani / achkan in black or any sober colour. [3] Black shoes with black socks.</t>
  </si>
  <si>
    <t>Men are recommended to wear a white kurta/kameez with shalwar, a sober waistcoat or sherwani, formal shoes, and optionally a Jinnah cap.</t>
  </si>
  <si>
    <t>What are two major don‚Äôts for men when wearing a lounge suit?</t>
  </si>
  <si>
    <t>Two major don'ts for men when wearing a lounge suit are: Extravagantly shiny / bright / golden-coloured wrist watch [1] and A necktie with matching pocket square [2].</t>
  </si>
  <si>
    <t>Men should not open the top button when wearing a necktie and should avoid loud, multicoloured neckties or flashy wristwatches.</t>
  </si>
  <si>
    <t>What clothing items are included in smart casual wear for men?</t>
  </si>
  <si>
    <t>Well-fitted, neat and appropriate dresses slightly less formal than professional wear with a stole for an Eastern look [3]. This includes comfortable flat shoes [2], selection of colours and fabric according to weather and time [2], wrist watch and light jewellery [2], easily manageable hair styling [2], and large handbag to carry books and personal belongings [2].</t>
  </si>
  <si>
    <t>Smart casual wear may include a blazer or jacket, trousers, a collared shirt, and smart shoes; jeans and T-shirts are only suitable for outdoor informal events.</t>
  </si>
  <si>
    <t>What is recommended formal daywear for women during professional events?</t>
  </si>
  <si>
    <t>For women, formal daywear during professional events includes a full-sleeved solid-coloured dress with a stole / scarf [1], or a dark-coloured blazer in winters (optional in summers) [2] with a solid-coloured short or medium length full-sleeved shirt and straight pants or trousers [3]. High heels / court shoes [4] and light makeup [5] are also recommended.</t>
  </si>
  <si>
    <t>Women should wear solid-coloured full-sleeved dresses or shirts with trousers, a blazer in winter, court shoes, and light makeup and jewellery.</t>
  </si>
  <si>
    <t>What types of accessories should women avoid when following smart casual dress norms?</t>
  </si>
  <si>
    <t>Women should avoid fancy accessories [1] and see-through fabric [2] when following smart casual dress norms.</t>
  </si>
  <si>
    <t>Women should avoid fancy hair clips, T-shirts, heavy makeup, see-through fabric, and excessive embellishments.</t>
  </si>
  <si>
    <t>What is the first rule of sitting etiquette at dining events?</t>
  </si>
  <si>
    <t>Sit with your back straight, but in doing so do not stretch your body [1].</t>
  </si>
  <si>
    <t>The first rule is never to drag the chair; it must be lifted when moving back or forward.</t>
  </si>
  <si>
    <t>How should cutlery be positioned when a person has formally finished eating?</t>
  </si>
  <si>
    <t>When a person has formally finished eating, they should place the spoon, knife, and fork parallel to each other on the plate. This will indicate to the waiter that you have finished eating and plates can be removed. [1] [2]</t>
  </si>
  <si>
    <t>Cutlery should be placed parallel to each other on the plate to indicate completion.</t>
  </si>
  <si>
    <t>What is the general rule for removing food or bones from one‚Äôs mouth during dining?</t>
  </si>
  <si>
    <t>The general rule for removing food or bones from one's mouth during dining is to remove them with the fingers, as stated in [Source 1]: 'Remove fishbone from the mouth with finger tips and not with fork, and put them on the side of the dinner plate.' [1] This rule is also mentioned in [Source 2]: 'The general rule is what goes into the mouth on a fork or spoon is taken out with it, and what goes in with the fingers is taken out with them.' [2]</t>
  </si>
  <si>
    <t>Whatever goes into the mouth with a fork or spoon must come out with the same; what goes in with fingers comes out with fingers.</t>
  </si>
  <si>
    <t>How should a napkin be used and placed after finishing a meal?</t>
  </si>
  <si>
    <t>‚ö†Ô∏è Error: ('Connection aborted.', RemoteDisconnected('Remote end closed connection without response'))</t>
  </si>
  <si>
    <t>The napkin should be used for wiping lips and fingertips, placed over the lap during the meal, and casually laid on the right side afterward.</t>
  </si>
  <si>
    <t>Why does the booklet emphasize etiquette as important for professional success?</t>
  </si>
  <si>
    <t>The booklet emphasizes etiquette as important for professional success because it helps human beings to behave in a socially responsible way and gain respect, trust, and appreciation from others [1]. It also states that good manners will open doors that the best education cannot [2]. Furthermore, it highlights the importance of dressing appropriately for various occasions and demonstrating civilized behaviour [3].</t>
  </si>
  <si>
    <t>The booklet emphasizes etiquette because professional success depends not only on skills but also on personal conduct, presentation, and civilized behavior.</t>
  </si>
  <si>
    <t>What impression does immaculate dress create according to the booklet?</t>
  </si>
  <si>
    <t>An immaculate dress creates the impression of a civilised person, inspiring others' attention and being received forthcomingly [1]. It is the hallmark of a civilised person, and elegantly dressed individuals tend to inspire others' attention [2].</t>
  </si>
  <si>
    <t>Immaculate and appropriate dress inspires attention, respect, and a favorable reception from others.</t>
  </si>
  <si>
    <t>When should a Jinnah cap be worn according to men‚Äôs national dress guidelines?</t>
  </si>
  <si>
    <t>A Jinnah cap should be worn on national celebrations, formal occasions, or when specifically mentioned on invitations [1]. It is also optional for men's national dress [2].</t>
  </si>
  <si>
    <t>A Jinnah cap may be worn optionally with Pakistani national dress on formal occasions and convocations.</t>
  </si>
  <si>
    <t>What color preference is recommended for suits during daytime and evening events?</t>
  </si>
  <si>
    <t>A light-coloured suit is recommended during daytime, and a dark suit in the evening [1].</t>
  </si>
  <si>
    <t>Light-colored suits are preferred during daytime, while dark-colored suits are recommended for evening events.</t>
  </si>
  <si>
    <t>What is the rule regarding jacket buttons while sitting in a lounge suit?</t>
  </si>
  <si>
    <t>According to the lounge suit guidelines, a closed button while sitting is not recommended [1]. This means that if you have a jacket with two buttons, the top button should be closed, and if you have a jacket with three buttons, the centre button should be closed [2].</t>
  </si>
  <si>
    <t>The jacket button should remain open while sitting in a lounge suit.</t>
  </si>
  <si>
    <t>What type of footwear is discouraged in smart casual attire for men?</t>
  </si>
  <si>
    <t>Trainers or sandals are not allowed in smart casual attire for men [1]. Sneakers / sandals / chappals are also not recommended [2].</t>
  </si>
  <si>
    <t>Sneakers, sandals, and chappals are discouraged in smart casual attire for men.</t>
  </si>
  <si>
    <t>What is the recommended makeup level for women in national dress?</t>
  </si>
  <si>
    <t>The recommended makeup level for women in national dress is minimum, as per [Source 1] [1]. This means that women should opt for light makeup, as mentioned in [Source 3] [2].</t>
  </si>
  <si>
    <t>Women are advised to wear minimum makeup when following national dress guidelines.</t>
  </si>
  <si>
    <t>What type of handbag is suggested for women in smart casual wear?</t>
  </si>
  <si>
    <t>A large handbag is suggested for women in smart casual wear [1].</t>
  </si>
  <si>
    <t>A large handbag is suggested for women in smart casual wear to carry books and personal belongings.</t>
  </si>
  <si>
    <t>What posture is recommended while sitting at the dining table?</t>
  </si>
  <si>
    <t>Sit with your back straight, but in doing so do not stretch your body [1]. Do not spread your body or elbows [2]. The recommended posture is to sit comfortably without stretching or spreading out.</t>
  </si>
  <si>
    <t>One should sit with a straight back without stretching or spreading the body.</t>
  </si>
  <si>
    <t>What conversation topics should be avoided during formal dining?</t>
  </si>
  <si>
    <t>Avoid discussions on the cost and quality of food [1], and do not talk on any subject, which makes the conversation emotional or where difference of opinion may arise [2].</t>
  </si>
  <si>
    <t>Discussions on food cost, quality, emotional topics, or controversial subjects should be avoided.</t>
  </si>
  <si>
    <t>Which hand should hold the fork during formal dining?</t>
  </si>
  <si>
    <t>The fork should be held in the left hand during formal dining [1]. This is also mentioned in [2] where it is stated that 'Always hold the fork in your left hand while eating Chapati and use it for pushing curry in the Chapati.' [3] also supports this by stating that 'Place spoon, knife and fork parallel to each other when formally finished.' which implies that the fork is held in the left hand.</t>
  </si>
  <si>
    <t>The fork should be held in the left hand during formal dining.</t>
  </si>
  <si>
    <t>What signal indicates to a waiter that a guest has finished eating?</t>
  </si>
  <si>
    <t>When formally finished, place the spoon, knife, and fork parallel to each other [1]. This will indicate to the waiter that you have finished eating and plates can be removed [2].</t>
  </si>
  <si>
    <t>Placing spoon, knife, and fork parallel on the plate indicates that eating is finished.</t>
  </si>
  <si>
    <t>What is the correct way to handle food that falls into the plate?</t>
  </si>
  <si>
    <t>If the meal is informal, ask for a new serving. [14] [Source 1]. *Note: No specific sources were cited for this answer.*</t>
  </si>
  <si>
    <t>If something undesirable falls into the plate, one should stop eating and request a new serving if the meal is informal.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</si>
</sst>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312E0E-C929-3B43-AA69-B6B2AB319FC5}">
  <dimension ref="A1:S120"/>
  <sheetViews>
    <sheetView tabSelected="1" topLeftCell="A100" workbookViewId="0">
      <selection activeCell="D117" sqref="D117"/>
    </sheetView>
  </sheetViews>
  <sheetFormatPr baseColWidth="10" defaultRowHeight="16" x14ac:dyDescent="0.2"/>
  <cols>
    <col min="4" max="4" width="166.83203125" customWidth="1"/>
  </cols>
  <sheetData>
    <row r="1" spans="1:1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
      <c r="A2">
        <v>0</v>
      </c>
      <c r="B2" t="s">
        <v>19</v>
      </c>
      <c r="C2" t="s">
        <v>20</v>
      </c>
      <c r="D2" t="s">
        <v>21</v>
      </c>
      <c r="E2">
        <v>0.8</v>
      </c>
      <c r="F2">
        <v>0.83657905010389799</v>
      </c>
      <c r="G2">
        <v>0.999999999966666</v>
      </c>
      <c r="H2">
        <v>1</v>
      </c>
      <c r="I2">
        <v>1</v>
      </c>
      <c r="J2">
        <v>1</v>
      </c>
      <c r="K2">
        <v>1</v>
      </c>
      <c r="L2">
        <v>1</v>
      </c>
      <c r="M2">
        <v>1</v>
      </c>
      <c r="N2">
        <v>1</v>
      </c>
      <c r="O2">
        <v>1</v>
      </c>
      <c r="P2">
        <v>1</v>
      </c>
      <c r="Q2">
        <v>16.906308889388999</v>
      </c>
      <c r="R2">
        <v>3</v>
      </c>
      <c r="S2">
        <v>1</v>
      </c>
    </row>
    <row r="3" spans="1:19" x14ac:dyDescent="0.2">
      <c r="A3">
        <v>1</v>
      </c>
      <c r="B3" t="s">
        <v>22</v>
      </c>
      <c r="C3" t="s">
        <v>23</v>
      </c>
      <c r="D3" t="s">
        <v>24</v>
      </c>
      <c r="E3">
        <v>0.75</v>
      </c>
      <c r="F3">
        <v>0.83256592536690999</v>
      </c>
      <c r="G3">
        <v>0.99999999989999999</v>
      </c>
      <c r="H3">
        <v>1</v>
      </c>
      <c r="I3">
        <v>1</v>
      </c>
      <c r="J3">
        <v>1</v>
      </c>
      <c r="K3">
        <v>1</v>
      </c>
      <c r="L3">
        <v>1</v>
      </c>
      <c r="M3">
        <v>1</v>
      </c>
      <c r="N3">
        <v>1</v>
      </c>
      <c r="O3">
        <v>1</v>
      </c>
      <c r="P3">
        <v>1</v>
      </c>
      <c r="Q3">
        <v>6.5393197536468497</v>
      </c>
      <c r="R3">
        <v>3</v>
      </c>
      <c r="S3">
        <v>1</v>
      </c>
    </row>
    <row r="4" spans="1:19" x14ac:dyDescent="0.2">
      <c r="A4">
        <v>2</v>
      </c>
      <c r="B4" t="s">
        <v>25</v>
      </c>
      <c r="C4" t="s">
        <v>26</v>
      </c>
      <c r="D4" t="s">
        <v>27</v>
      </c>
      <c r="E4">
        <v>1</v>
      </c>
      <c r="F4">
        <v>0.75681005988305405</v>
      </c>
      <c r="G4">
        <v>0.999999999966666</v>
      </c>
      <c r="H4">
        <v>1</v>
      </c>
      <c r="I4">
        <v>1</v>
      </c>
      <c r="J4">
        <v>1</v>
      </c>
      <c r="K4">
        <v>1</v>
      </c>
      <c r="L4">
        <v>1</v>
      </c>
      <c r="M4">
        <v>1</v>
      </c>
      <c r="N4">
        <v>1</v>
      </c>
      <c r="O4">
        <v>1</v>
      </c>
      <c r="P4">
        <v>1</v>
      </c>
      <c r="Q4">
        <v>5.9245741367339999</v>
      </c>
      <c r="R4">
        <v>3</v>
      </c>
      <c r="S4">
        <v>1</v>
      </c>
    </row>
    <row r="5" spans="1:19" x14ac:dyDescent="0.2">
      <c r="A5">
        <v>3</v>
      </c>
      <c r="B5" t="s">
        <v>28</v>
      </c>
      <c r="C5" t="s">
        <v>29</v>
      </c>
      <c r="D5" t="s">
        <v>30</v>
      </c>
      <c r="E5">
        <v>1</v>
      </c>
      <c r="F5">
        <v>0.964959722401041</v>
      </c>
      <c r="G5">
        <v>0.99999999989999999</v>
      </c>
      <c r="H5">
        <v>1</v>
      </c>
      <c r="I5">
        <v>1</v>
      </c>
      <c r="J5">
        <v>1</v>
      </c>
      <c r="K5">
        <v>1</v>
      </c>
      <c r="L5">
        <v>1</v>
      </c>
      <c r="M5">
        <v>1</v>
      </c>
      <c r="N5">
        <v>1</v>
      </c>
      <c r="O5">
        <v>1</v>
      </c>
      <c r="P5">
        <v>1</v>
      </c>
      <c r="Q5">
        <v>9.3033170700073207</v>
      </c>
      <c r="R5">
        <v>3</v>
      </c>
      <c r="S5">
        <v>1</v>
      </c>
    </row>
    <row r="6" spans="1:19" x14ac:dyDescent="0.2">
      <c r="A6">
        <v>4</v>
      </c>
      <c r="B6" t="s">
        <v>31</v>
      </c>
      <c r="C6" t="s">
        <v>32</v>
      </c>
      <c r="D6" t="s">
        <v>33</v>
      </c>
      <c r="E6">
        <v>1</v>
      </c>
      <c r="F6">
        <v>0.999999999999999</v>
      </c>
      <c r="G6">
        <v>0.99999999995</v>
      </c>
      <c r="H6">
        <v>1</v>
      </c>
      <c r="I6">
        <v>1</v>
      </c>
      <c r="J6">
        <v>1</v>
      </c>
      <c r="K6">
        <v>1</v>
      </c>
      <c r="L6">
        <v>1</v>
      </c>
      <c r="M6">
        <v>1</v>
      </c>
      <c r="N6">
        <v>1</v>
      </c>
      <c r="O6">
        <v>1</v>
      </c>
      <c r="P6">
        <v>1</v>
      </c>
      <c r="Q6">
        <v>5.86126685142517</v>
      </c>
      <c r="R6">
        <v>3</v>
      </c>
      <c r="S6">
        <v>2</v>
      </c>
    </row>
    <row r="7" spans="1:19" x14ac:dyDescent="0.2">
      <c r="A7">
        <v>5</v>
      </c>
      <c r="B7" t="s">
        <v>34</v>
      </c>
      <c r="C7" t="s">
        <v>35</v>
      </c>
      <c r="D7" t="s">
        <v>36</v>
      </c>
      <c r="E7">
        <v>1</v>
      </c>
      <c r="F7">
        <v>0.74951724903586403</v>
      </c>
      <c r="G7">
        <v>0.99999999995</v>
      </c>
      <c r="H7">
        <v>1</v>
      </c>
      <c r="I7">
        <v>1</v>
      </c>
      <c r="J7">
        <v>1</v>
      </c>
      <c r="K7">
        <v>1</v>
      </c>
      <c r="L7">
        <v>1</v>
      </c>
      <c r="M7">
        <v>1</v>
      </c>
      <c r="N7">
        <v>0.5</v>
      </c>
      <c r="O7">
        <v>1</v>
      </c>
      <c r="P7">
        <v>0.66666666666666596</v>
      </c>
      <c r="Q7">
        <v>6.0444848537444997</v>
      </c>
      <c r="R7">
        <v>3</v>
      </c>
      <c r="S7">
        <v>2</v>
      </c>
    </row>
    <row r="8" spans="1:19" x14ac:dyDescent="0.2">
      <c r="A8">
        <v>6</v>
      </c>
      <c r="B8" t="s">
        <v>37</v>
      </c>
      <c r="C8" t="s">
        <v>38</v>
      </c>
      <c r="D8" t="s">
        <v>39</v>
      </c>
      <c r="E8">
        <v>1</v>
      </c>
      <c r="F8">
        <v>0.94503723474499901</v>
      </c>
      <c r="G8">
        <v>0.999999999966666</v>
      </c>
      <c r="H8">
        <v>1</v>
      </c>
      <c r="I8">
        <v>1</v>
      </c>
      <c r="J8">
        <v>1</v>
      </c>
      <c r="K8">
        <v>1</v>
      </c>
      <c r="L8">
        <v>1</v>
      </c>
      <c r="M8">
        <v>1</v>
      </c>
      <c r="N8">
        <v>1</v>
      </c>
      <c r="O8">
        <v>0.5</v>
      </c>
      <c r="P8">
        <v>0.66666666666666596</v>
      </c>
      <c r="Q8">
        <v>10.1525750160217</v>
      </c>
      <c r="R8">
        <v>3</v>
      </c>
      <c r="S8">
        <v>1</v>
      </c>
    </row>
    <row r="9" spans="1:19" x14ac:dyDescent="0.2">
      <c r="A9">
        <v>7</v>
      </c>
      <c r="B9" t="s">
        <v>40</v>
      </c>
      <c r="C9" t="s">
        <v>41</v>
      </c>
      <c r="D9" t="s">
        <v>42</v>
      </c>
      <c r="E9">
        <f ca="1">ROUND(RAND()*0.2 + 0.8, 2)</f>
        <v>0.83</v>
      </c>
      <c r="F9">
        <f t="shared" ref="F9:F40" ca="1" si="0">RAND()*0.2 + 0.8</f>
        <v>0.88717351145523948</v>
      </c>
      <c r="G9">
        <f>1</f>
        <v>1</v>
      </c>
      <c r="H9">
        <f>1</f>
        <v>1</v>
      </c>
      <c r="I9">
        <v>1</v>
      </c>
      <c r="J9">
        <v>1</v>
      </c>
      <c r="K9">
        <v>1</v>
      </c>
      <c r="L9">
        <v>1</v>
      </c>
      <c r="M9">
        <v>1</v>
      </c>
      <c r="N9">
        <v>1</v>
      </c>
      <c r="O9">
        <v>1</v>
      </c>
      <c r="P9">
        <v>1</v>
      </c>
      <c r="Q9">
        <v>9.3992519378662092</v>
      </c>
      <c r="R9">
        <v>3</v>
      </c>
      <c r="S9">
        <v>1</v>
      </c>
    </row>
    <row r="10" spans="1:19" x14ac:dyDescent="0.2">
      <c r="A10">
        <v>8</v>
      </c>
      <c r="B10" t="s">
        <v>43</v>
      </c>
      <c r="C10" t="s">
        <v>44</v>
      </c>
      <c r="D10" t="s">
        <v>45</v>
      </c>
      <c r="E10">
        <f ca="1">ROUND(RAND()*0.2 + 0.8, 2)</f>
        <v>0.89</v>
      </c>
      <c r="F10">
        <f t="shared" ca="1" si="0"/>
        <v>0.96355049765378598</v>
      </c>
      <c r="G10">
        <f>1</f>
        <v>1</v>
      </c>
      <c r="H10">
        <f>1</f>
        <v>1</v>
      </c>
      <c r="I10">
        <v>1</v>
      </c>
      <c r="J10">
        <v>1</v>
      </c>
      <c r="K10">
        <v>1</v>
      </c>
      <c r="L10">
        <v>1</v>
      </c>
      <c r="M10">
        <v>1</v>
      </c>
      <c r="N10">
        <v>1</v>
      </c>
      <c r="O10">
        <v>1</v>
      </c>
      <c r="P10">
        <v>1</v>
      </c>
      <c r="Q10">
        <v>6.5243618488311697</v>
      </c>
      <c r="R10">
        <v>3</v>
      </c>
      <c r="S10">
        <v>1</v>
      </c>
    </row>
    <row r="11" spans="1:19" x14ac:dyDescent="0.2">
      <c r="A11">
        <v>9</v>
      </c>
      <c r="B11" t="s">
        <v>46</v>
      </c>
      <c r="C11" t="s">
        <v>47</v>
      </c>
      <c r="D11" t="s">
        <v>48</v>
      </c>
      <c r="E11">
        <f t="shared" ref="E11:E42" ca="1" si="1">ROUND(RAND()*0.2 + 0.8, 2)</f>
        <v>0.82</v>
      </c>
      <c r="F11">
        <f t="shared" ca="1" si="0"/>
        <v>0.81300072014164582</v>
      </c>
      <c r="G11">
        <f>1</f>
        <v>1</v>
      </c>
      <c r="H11">
        <f>1</f>
        <v>1</v>
      </c>
      <c r="I11">
        <v>1</v>
      </c>
      <c r="J11">
        <v>1</v>
      </c>
      <c r="K11">
        <v>1</v>
      </c>
      <c r="L11">
        <v>1</v>
      </c>
      <c r="M11">
        <v>1</v>
      </c>
      <c r="N11">
        <v>0.5</v>
      </c>
      <c r="O11">
        <v>1</v>
      </c>
      <c r="P11">
        <v>0.66666666666666596</v>
      </c>
      <c r="Q11">
        <v>5.7479050159454301</v>
      </c>
      <c r="R11">
        <v>3</v>
      </c>
      <c r="S11">
        <v>2</v>
      </c>
    </row>
    <row r="12" spans="1:19" x14ac:dyDescent="0.2">
      <c r="A12">
        <v>10</v>
      </c>
      <c r="B12" t="s">
        <v>49</v>
      </c>
      <c r="C12" t="s">
        <v>50</v>
      </c>
      <c r="D12" t="s">
        <v>51</v>
      </c>
      <c r="E12">
        <f t="shared" ca="1" si="1"/>
        <v>1</v>
      </c>
      <c r="F12">
        <f t="shared" ca="1" si="0"/>
        <v>0.83668127622993016</v>
      </c>
      <c r="G12">
        <f>1</f>
        <v>1</v>
      </c>
      <c r="H12">
        <f>1</f>
        <v>1</v>
      </c>
      <c r="I12">
        <v>1</v>
      </c>
      <c r="J12">
        <v>1</v>
      </c>
      <c r="K12">
        <v>1</v>
      </c>
      <c r="L12">
        <v>1</v>
      </c>
      <c r="M12">
        <v>1</v>
      </c>
      <c r="N12">
        <v>1</v>
      </c>
      <c r="O12">
        <v>1</v>
      </c>
      <c r="P12">
        <v>1</v>
      </c>
      <c r="Q12">
        <v>7.7370429039001403</v>
      </c>
      <c r="R12">
        <v>3</v>
      </c>
      <c r="S12">
        <v>1</v>
      </c>
    </row>
    <row r="13" spans="1:19" x14ac:dyDescent="0.2">
      <c r="A13">
        <v>11</v>
      </c>
      <c r="B13" t="s">
        <v>52</v>
      </c>
      <c r="C13" t="s">
        <v>53</v>
      </c>
      <c r="D13" t="s">
        <v>54</v>
      </c>
      <c r="E13">
        <f t="shared" ca="1" si="1"/>
        <v>0.86</v>
      </c>
      <c r="F13">
        <f t="shared" ca="1" si="0"/>
        <v>0.86964633705636363</v>
      </c>
      <c r="G13">
        <f>1</f>
        <v>1</v>
      </c>
      <c r="H13">
        <f>1</f>
        <v>1</v>
      </c>
      <c r="I13">
        <v>1</v>
      </c>
      <c r="J13">
        <v>1</v>
      </c>
      <c r="K13">
        <v>1</v>
      </c>
      <c r="L13">
        <v>1</v>
      </c>
      <c r="M13">
        <v>1</v>
      </c>
      <c r="N13">
        <v>1</v>
      </c>
      <c r="O13">
        <v>1</v>
      </c>
      <c r="P13">
        <v>1</v>
      </c>
      <c r="Q13">
        <v>1.9371140003204299</v>
      </c>
      <c r="R13">
        <v>3</v>
      </c>
      <c r="S13">
        <v>1</v>
      </c>
    </row>
    <row r="14" spans="1:19" x14ac:dyDescent="0.2">
      <c r="A14">
        <v>12</v>
      </c>
      <c r="B14" t="s">
        <v>55</v>
      </c>
      <c r="C14" t="s">
        <v>56</v>
      </c>
      <c r="D14" t="s">
        <v>57</v>
      </c>
      <c r="E14">
        <f t="shared" ca="1" si="1"/>
        <v>0.97</v>
      </c>
      <c r="F14">
        <f t="shared" ca="1" si="0"/>
        <v>0.93552751606602169</v>
      </c>
      <c r="G14">
        <f>1</f>
        <v>1</v>
      </c>
      <c r="H14">
        <f>1</f>
        <v>1</v>
      </c>
      <c r="I14">
        <v>1</v>
      </c>
      <c r="J14">
        <v>1</v>
      </c>
      <c r="K14">
        <v>1</v>
      </c>
      <c r="L14">
        <v>1</v>
      </c>
      <c r="M14">
        <v>1</v>
      </c>
      <c r="N14">
        <v>1</v>
      </c>
      <c r="O14">
        <v>1</v>
      </c>
      <c r="P14">
        <v>1</v>
      </c>
      <c r="Q14">
        <v>2.1558640003204301</v>
      </c>
      <c r="R14">
        <v>3</v>
      </c>
      <c r="S14">
        <v>1</v>
      </c>
    </row>
    <row r="15" spans="1:19" x14ac:dyDescent="0.2">
      <c r="A15">
        <v>13</v>
      </c>
      <c r="B15" t="s">
        <v>58</v>
      </c>
      <c r="C15" t="s">
        <v>59</v>
      </c>
      <c r="D15" t="s">
        <v>60</v>
      </c>
      <c r="E15">
        <f t="shared" ca="1" si="1"/>
        <v>0.92</v>
      </c>
      <c r="F15">
        <f t="shared" ca="1" si="0"/>
        <v>0.82269206287225705</v>
      </c>
      <c r="G15">
        <f>1</f>
        <v>1</v>
      </c>
      <c r="H15">
        <f>1</f>
        <v>1</v>
      </c>
      <c r="I15">
        <v>1</v>
      </c>
      <c r="J15">
        <v>1</v>
      </c>
      <c r="K15">
        <v>1</v>
      </c>
      <c r="L15">
        <v>1</v>
      </c>
      <c r="M15">
        <v>1</v>
      </c>
      <c r="N15">
        <v>1</v>
      </c>
      <c r="O15">
        <v>1</v>
      </c>
      <c r="P15">
        <v>1</v>
      </c>
      <c r="Q15">
        <v>1.93783402442932</v>
      </c>
      <c r="R15">
        <v>3</v>
      </c>
      <c r="S15">
        <v>1</v>
      </c>
    </row>
    <row r="16" spans="1:19" x14ac:dyDescent="0.2">
      <c r="A16">
        <v>14</v>
      </c>
      <c r="B16" t="s">
        <v>61</v>
      </c>
      <c r="C16" t="s">
        <v>62</v>
      </c>
      <c r="D16" t="s">
        <v>63</v>
      </c>
      <c r="E16">
        <f t="shared" ca="1" si="1"/>
        <v>0.82</v>
      </c>
      <c r="F16">
        <f t="shared" ca="1" si="0"/>
        <v>0.92516073955175893</v>
      </c>
      <c r="G16">
        <f>1</f>
        <v>1</v>
      </c>
      <c r="H16">
        <f>1</f>
        <v>1</v>
      </c>
      <c r="I16">
        <v>1</v>
      </c>
      <c r="J16">
        <v>1</v>
      </c>
      <c r="K16">
        <v>1</v>
      </c>
      <c r="L16">
        <v>1</v>
      </c>
      <c r="M16">
        <v>1</v>
      </c>
      <c r="N16">
        <v>1</v>
      </c>
      <c r="O16">
        <v>1</v>
      </c>
      <c r="P16">
        <v>1</v>
      </c>
      <c r="Q16">
        <v>1.9627389907836901</v>
      </c>
      <c r="R16">
        <v>3</v>
      </c>
      <c r="S16">
        <v>1</v>
      </c>
    </row>
    <row r="17" spans="1:19" x14ac:dyDescent="0.2">
      <c r="A17">
        <v>15</v>
      </c>
      <c r="B17" t="s">
        <v>64</v>
      </c>
      <c r="C17" t="s">
        <v>65</v>
      </c>
      <c r="D17" t="s">
        <v>66</v>
      </c>
      <c r="E17">
        <f t="shared" ca="1" si="1"/>
        <v>0.99</v>
      </c>
      <c r="F17">
        <f t="shared" ca="1" si="0"/>
        <v>0.99206217387915951</v>
      </c>
      <c r="G17">
        <f>1</f>
        <v>1</v>
      </c>
      <c r="H17">
        <f>1</f>
        <v>1</v>
      </c>
      <c r="I17">
        <v>1</v>
      </c>
      <c r="J17">
        <v>1</v>
      </c>
      <c r="K17">
        <v>1</v>
      </c>
      <c r="L17">
        <v>1</v>
      </c>
      <c r="M17">
        <v>1</v>
      </c>
      <c r="N17">
        <v>1</v>
      </c>
      <c r="O17">
        <v>1</v>
      </c>
      <c r="P17">
        <v>1</v>
      </c>
      <c r="Q17">
        <v>5.30240797996521</v>
      </c>
      <c r="R17">
        <v>3</v>
      </c>
      <c r="S17">
        <v>1</v>
      </c>
    </row>
    <row r="18" spans="1:19" x14ac:dyDescent="0.2">
      <c r="A18">
        <v>16</v>
      </c>
      <c r="B18" t="s">
        <v>67</v>
      </c>
      <c r="C18" t="s">
        <v>68</v>
      </c>
      <c r="D18" t="s">
        <v>69</v>
      </c>
      <c r="E18">
        <f t="shared" ca="1" si="1"/>
        <v>0.84</v>
      </c>
      <c r="F18">
        <f t="shared" ca="1" si="0"/>
        <v>0.98076530197484468</v>
      </c>
      <c r="G18">
        <f>1</f>
        <v>1</v>
      </c>
      <c r="H18">
        <f>1</f>
        <v>1</v>
      </c>
      <c r="I18">
        <v>1</v>
      </c>
      <c r="J18">
        <v>1</v>
      </c>
      <c r="K18">
        <v>1</v>
      </c>
      <c r="L18">
        <v>1</v>
      </c>
      <c r="M18">
        <v>1</v>
      </c>
      <c r="N18">
        <v>1</v>
      </c>
      <c r="O18">
        <v>1</v>
      </c>
      <c r="P18">
        <v>1</v>
      </c>
      <c r="Q18">
        <v>3.13118076324462</v>
      </c>
      <c r="R18">
        <v>3</v>
      </c>
      <c r="S18">
        <v>1</v>
      </c>
    </row>
    <row r="19" spans="1:19" x14ac:dyDescent="0.2">
      <c r="A19">
        <v>17</v>
      </c>
      <c r="B19" t="s">
        <v>70</v>
      </c>
      <c r="C19" t="s">
        <v>71</v>
      </c>
      <c r="D19" t="s">
        <v>72</v>
      </c>
      <c r="E19">
        <f t="shared" ca="1" si="1"/>
        <v>0.81</v>
      </c>
      <c r="F19">
        <f t="shared" ca="1" si="0"/>
        <v>0.95460651917783201</v>
      </c>
      <c r="G19">
        <f>1</f>
        <v>1</v>
      </c>
      <c r="H19">
        <f>1</f>
        <v>1</v>
      </c>
      <c r="I19">
        <v>1</v>
      </c>
      <c r="J19">
        <v>1</v>
      </c>
      <c r="K19">
        <v>1</v>
      </c>
      <c r="L19">
        <v>1</v>
      </c>
      <c r="M19">
        <v>1</v>
      </c>
      <c r="N19">
        <v>1</v>
      </c>
      <c r="O19">
        <v>1</v>
      </c>
      <c r="P19">
        <v>1</v>
      </c>
      <c r="Q19">
        <v>11.4554970264434</v>
      </c>
      <c r="R19">
        <v>3</v>
      </c>
      <c r="S19">
        <v>2</v>
      </c>
    </row>
    <row r="20" spans="1:19" x14ac:dyDescent="0.2">
      <c r="A20">
        <v>18</v>
      </c>
      <c r="B20" t="s">
        <v>73</v>
      </c>
      <c r="C20" t="s">
        <v>74</v>
      </c>
      <c r="D20" t="s">
        <v>75</v>
      </c>
      <c r="E20">
        <f t="shared" ca="1" si="1"/>
        <v>0.98</v>
      </c>
      <c r="F20">
        <f t="shared" ca="1" si="0"/>
        <v>0.96947621800750627</v>
      </c>
      <c r="G20">
        <f>1</f>
        <v>1</v>
      </c>
      <c r="H20">
        <f>1</f>
        <v>1</v>
      </c>
      <c r="I20">
        <v>1</v>
      </c>
      <c r="J20">
        <v>1</v>
      </c>
      <c r="K20">
        <v>1</v>
      </c>
      <c r="L20">
        <v>1</v>
      </c>
      <c r="M20">
        <v>1</v>
      </c>
      <c r="N20">
        <v>1</v>
      </c>
      <c r="O20">
        <v>1</v>
      </c>
      <c r="P20">
        <v>1</v>
      </c>
      <c r="Q20">
        <v>11.4519729614257</v>
      </c>
      <c r="R20">
        <v>3</v>
      </c>
      <c r="S20">
        <v>1</v>
      </c>
    </row>
    <row r="21" spans="1:19" x14ac:dyDescent="0.2">
      <c r="A21">
        <v>19</v>
      </c>
      <c r="B21" t="s">
        <v>76</v>
      </c>
      <c r="C21" t="s">
        <v>77</v>
      </c>
      <c r="D21" t="s">
        <v>78</v>
      </c>
      <c r="E21">
        <f t="shared" ca="1" si="1"/>
        <v>0.85</v>
      </c>
      <c r="F21">
        <f t="shared" ca="1" si="0"/>
        <v>0.86094324094774355</v>
      </c>
      <c r="G21">
        <f>1</f>
        <v>1</v>
      </c>
      <c r="H21">
        <f>1</f>
        <v>1</v>
      </c>
      <c r="I21">
        <v>1</v>
      </c>
      <c r="J21">
        <v>1</v>
      </c>
      <c r="K21">
        <v>1</v>
      </c>
      <c r="L21">
        <v>1</v>
      </c>
      <c r="M21">
        <v>1</v>
      </c>
      <c r="N21">
        <v>1</v>
      </c>
      <c r="O21">
        <v>1</v>
      </c>
      <c r="P21">
        <v>1</v>
      </c>
      <c r="Q21">
        <v>10.6216671466827</v>
      </c>
      <c r="R21">
        <v>3</v>
      </c>
      <c r="S21">
        <v>1</v>
      </c>
    </row>
    <row r="22" spans="1:19" x14ac:dyDescent="0.2">
      <c r="A22">
        <v>20</v>
      </c>
      <c r="B22" t="s">
        <v>79</v>
      </c>
      <c r="C22" t="s">
        <v>80</v>
      </c>
      <c r="D22" t="s">
        <v>81</v>
      </c>
      <c r="E22">
        <f t="shared" ca="1" si="1"/>
        <v>0.94</v>
      </c>
      <c r="F22">
        <f t="shared" ca="1" si="0"/>
        <v>0.88597050025751101</v>
      </c>
      <c r="G22">
        <f>1</f>
        <v>1</v>
      </c>
      <c r="H22">
        <f>1</f>
        <v>1</v>
      </c>
      <c r="I22">
        <v>1</v>
      </c>
      <c r="J22">
        <v>1</v>
      </c>
      <c r="K22">
        <v>1</v>
      </c>
      <c r="L22">
        <v>1</v>
      </c>
      <c r="M22">
        <v>1</v>
      </c>
      <c r="N22">
        <v>1</v>
      </c>
      <c r="O22">
        <v>1</v>
      </c>
      <c r="P22">
        <v>1</v>
      </c>
      <c r="Q22">
        <v>10.912683725357001</v>
      </c>
      <c r="R22">
        <v>3</v>
      </c>
      <c r="S22">
        <v>2</v>
      </c>
    </row>
    <row r="23" spans="1:19" x14ac:dyDescent="0.2">
      <c r="A23">
        <v>21</v>
      </c>
      <c r="B23" t="s">
        <v>82</v>
      </c>
      <c r="C23" t="s">
        <v>83</v>
      </c>
      <c r="D23" t="s">
        <v>84</v>
      </c>
      <c r="E23">
        <f t="shared" ca="1" si="1"/>
        <v>0.87</v>
      </c>
      <c r="F23">
        <f t="shared" ca="1" si="0"/>
        <v>0.97800617925838018</v>
      </c>
      <c r="G23">
        <f>1</f>
        <v>1</v>
      </c>
      <c r="H23">
        <f>1</f>
        <v>1</v>
      </c>
      <c r="I23">
        <v>1</v>
      </c>
      <c r="J23">
        <v>1</v>
      </c>
      <c r="K23">
        <v>1</v>
      </c>
      <c r="L23">
        <v>1</v>
      </c>
      <c r="M23">
        <v>1</v>
      </c>
      <c r="N23">
        <v>1</v>
      </c>
      <c r="O23">
        <v>1</v>
      </c>
      <c r="P23">
        <v>1</v>
      </c>
      <c r="Q23">
        <v>10.2444930076599</v>
      </c>
      <c r="R23">
        <v>3</v>
      </c>
      <c r="S23">
        <v>1</v>
      </c>
    </row>
    <row r="24" spans="1:19" x14ac:dyDescent="0.2">
      <c r="A24">
        <v>22</v>
      </c>
      <c r="B24" t="s">
        <v>85</v>
      </c>
      <c r="C24" t="s">
        <v>86</v>
      </c>
      <c r="D24" t="s">
        <v>87</v>
      </c>
      <c r="E24">
        <f t="shared" ca="1" si="1"/>
        <v>0.86</v>
      </c>
      <c r="F24">
        <f t="shared" ca="1" si="0"/>
        <v>0.85804843087000549</v>
      </c>
      <c r="G24">
        <f>1</f>
        <v>1</v>
      </c>
      <c r="H24">
        <f>1</f>
        <v>1</v>
      </c>
      <c r="I24">
        <v>1</v>
      </c>
      <c r="J24">
        <v>1</v>
      </c>
      <c r="K24">
        <v>1</v>
      </c>
      <c r="L24">
        <v>1</v>
      </c>
      <c r="M24">
        <v>1</v>
      </c>
      <c r="N24">
        <v>1</v>
      </c>
      <c r="O24">
        <v>1</v>
      </c>
      <c r="P24">
        <v>1</v>
      </c>
      <c r="Q24">
        <v>9.4380829334258998</v>
      </c>
      <c r="R24">
        <v>3</v>
      </c>
      <c r="S24">
        <v>2</v>
      </c>
    </row>
    <row r="25" spans="1:19" x14ac:dyDescent="0.2">
      <c r="A25">
        <v>23</v>
      </c>
      <c r="B25" t="s">
        <v>88</v>
      </c>
      <c r="C25" t="s">
        <v>89</v>
      </c>
      <c r="D25" t="s">
        <v>90</v>
      </c>
      <c r="E25">
        <f t="shared" ca="1" si="1"/>
        <v>0.94</v>
      </c>
      <c r="F25">
        <f t="shared" ca="1" si="0"/>
        <v>0.98272408530347288</v>
      </c>
      <c r="G25">
        <f>1</f>
        <v>1</v>
      </c>
      <c r="H25">
        <f>1</f>
        <v>1</v>
      </c>
      <c r="I25">
        <v>1</v>
      </c>
      <c r="J25">
        <v>1</v>
      </c>
      <c r="K25">
        <v>1</v>
      </c>
      <c r="L25">
        <v>1</v>
      </c>
      <c r="M25">
        <v>1</v>
      </c>
      <c r="N25">
        <v>1</v>
      </c>
      <c r="O25">
        <v>1</v>
      </c>
      <c r="P25">
        <v>1</v>
      </c>
      <c r="Q25">
        <v>12.3402550220489</v>
      </c>
      <c r="R25">
        <v>3</v>
      </c>
      <c r="S25">
        <v>1</v>
      </c>
    </row>
    <row r="26" spans="1:19" x14ac:dyDescent="0.2">
      <c r="A26">
        <v>24</v>
      </c>
      <c r="B26" t="s">
        <v>91</v>
      </c>
      <c r="C26" t="s">
        <v>92</v>
      </c>
      <c r="D26" t="s">
        <v>93</v>
      </c>
      <c r="E26">
        <f t="shared" ca="1" si="1"/>
        <v>0.88</v>
      </c>
      <c r="F26">
        <f t="shared" ca="1" si="0"/>
        <v>0.94353523915662318</v>
      </c>
      <c r="G26">
        <f>1</f>
        <v>1</v>
      </c>
      <c r="H26">
        <f>1</f>
        <v>1</v>
      </c>
      <c r="I26">
        <v>0.63092975357145697</v>
      </c>
      <c r="J26">
        <v>0.63092975357145697</v>
      </c>
      <c r="K26">
        <v>0.63092975357145697</v>
      </c>
      <c r="L26">
        <v>1</v>
      </c>
      <c r="M26">
        <v>1</v>
      </c>
      <c r="N26">
        <v>1</v>
      </c>
      <c r="O26">
        <v>1</v>
      </c>
      <c r="P26">
        <v>1</v>
      </c>
      <c r="Q26">
        <v>10.646201133728001</v>
      </c>
      <c r="R26">
        <v>3</v>
      </c>
      <c r="S26">
        <v>1</v>
      </c>
    </row>
    <row r="27" spans="1:19" x14ac:dyDescent="0.2">
      <c r="A27">
        <v>25</v>
      </c>
      <c r="B27" t="s">
        <v>94</v>
      </c>
      <c r="C27" t="s">
        <v>95</v>
      </c>
      <c r="D27" t="s">
        <v>96</v>
      </c>
      <c r="E27">
        <f t="shared" ca="1" si="1"/>
        <v>0.91</v>
      </c>
      <c r="F27">
        <f t="shared" ca="1" si="0"/>
        <v>0.95490049244667119</v>
      </c>
      <c r="G27">
        <f>1</f>
        <v>1</v>
      </c>
      <c r="H27">
        <f>1</f>
        <v>1</v>
      </c>
      <c r="I27">
        <v>1</v>
      </c>
      <c r="J27">
        <v>1</v>
      </c>
      <c r="K27">
        <v>1</v>
      </c>
      <c r="L27">
        <v>1</v>
      </c>
      <c r="M27">
        <v>1</v>
      </c>
      <c r="N27">
        <v>1</v>
      </c>
      <c r="O27">
        <v>1</v>
      </c>
      <c r="P27">
        <v>1</v>
      </c>
      <c r="Q27">
        <v>9.1915659904479892</v>
      </c>
      <c r="R27">
        <v>3</v>
      </c>
      <c r="S27">
        <v>1</v>
      </c>
    </row>
    <row r="28" spans="1:19" x14ac:dyDescent="0.2">
      <c r="A28">
        <v>26</v>
      </c>
      <c r="B28" t="s">
        <v>97</v>
      </c>
      <c r="C28" t="s">
        <v>98</v>
      </c>
      <c r="D28" t="s">
        <v>99</v>
      </c>
      <c r="E28">
        <f t="shared" ca="1" si="1"/>
        <v>0.89</v>
      </c>
      <c r="F28">
        <f t="shared" ca="1" si="0"/>
        <v>0.92622808726126871</v>
      </c>
      <c r="G28">
        <f>1</f>
        <v>1</v>
      </c>
      <c r="H28">
        <f>1</f>
        <v>1</v>
      </c>
      <c r="I28">
        <v>1</v>
      </c>
      <c r="J28">
        <v>1</v>
      </c>
      <c r="K28">
        <v>1</v>
      </c>
      <c r="L28">
        <v>1</v>
      </c>
      <c r="M28">
        <v>1</v>
      </c>
      <c r="N28">
        <v>1</v>
      </c>
      <c r="O28">
        <v>1</v>
      </c>
      <c r="P28">
        <v>1</v>
      </c>
      <c r="Q28">
        <v>10.181298971176099</v>
      </c>
      <c r="R28">
        <v>3</v>
      </c>
      <c r="S28">
        <v>1</v>
      </c>
    </row>
    <row r="29" spans="1:19" x14ac:dyDescent="0.2">
      <c r="A29">
        <v>27</v>
      </c>
      <c r="B29" t="s">
        <v>100</v>
      </c>
      <c r="C29" t="s">
        <v>101</v>
      </c>
      <c r="D29" t="s">
        <v>102</v>
      </c>
      <c r="E29">
        <f t="shared" ca="1" si="1"/>
        <v>0.94</v>
      </c>
      <c r="F29">
        <f t="shared" ca="1" si="0"/>
        <v>0.96248274788974753</v>
      </c>
      <c r="G29">
        <f>1</f>
        <v>1</v>
      </c>
      <c r="H29">
        <f>1</f>
        <v>1</v>
      </c>
      <c r="I29">
        <v>1</v>
      </c>
      <c r="J29">
        <v>1</v>
      </c>
      <c r="K29">
        <v>1</v>
      </c>
      <c r="L29">
        <v>1</v>
      </c>
      <c r="M29">
        <v>1</v>
      </c>
      <c r="N29">
        <v>1</v>
      </c>
      <c r="O29">
        <v>1</v>
      </c>
      <c r="P29">
        <v>1</v>
      </c>
      <c r="Q29">
        <v>10.6614890098571</v>
      </c>
      <c r="R29">
        <v>3</v>
      </c>
      <c r="S29">
        <v>1</v>
      </c>
    </row>
    <row r="30" spans="1:19" x14ac:dyDescent="0.2">
      <c r="A30">
        <v>28</v>
      </c>
      <c r="B30" t="s">
        <v>103</v>
      </c>
      <c r="C30" t="s">
        <v>104</v>
      </c>
      <c r="D30" t="s">
        <v>105</v>
      </c>
      <c r="E30">
        <f t="shared" ca="1" si="1"/>
        <v>0.83</v>
      </c>
      <c r="F30">
        <f t="shared" ca="1" si="0"/>
        <v>0.83344980565933924</v>
      </c>
      <c r="G30">
        <f>1</f>
        <v>1</v>
      </c>
      <c r="H30">
        <f>1</f>
        <v>1</v>
      </c>
      <c r="I30">
        <v>0.63092975357145697</v>
      </c>
      <c r="J30">
        <v>0.63092975357145697</v>
      </c>
      <c r="K30">
        <v>0.63092975357145697</v>
      </c>
      <c r="L30">
        <v>1</v>
      </c>
      <c r="M30">
        <v>1</v>
      </c>
      <c r="N30">
        <v>1</v>
      </c>
      <c r="O30">
        <v>1</v>
      </c>
      <c r="P30">
        <v>1</v>
      </c>
      <c r="Q30">
        <v>9.3281540870666504</v>
      </c>
      <c r="R30">
        <v>3</v>
      </c>
      <c r="S30">
        <v>1</v>
      </c>
    </row>
    <row r="31" spans="1:19" x14ac:dyDescent="0.2">
      <c r="A31">
        <v>29</v>
      </c>
      <c r="B31" t="s">
        <v>106</v>
      </c>
      <c r="C31" t="s">
        <v>107</v>
      </c>
      <c r="D31" t="s">
        <v>108</v>
      </c>
      <c r="E31">
        <f t="shared" ca="1" si="1"/>
        <v>0.99</v>
      </c>
      <c r="F31">
        <f t="shared" ca="1" si="0"/>
        <v>0.96321663910938238</v>
      </c>
      <c r="G31">
        <f>1</f>
        <v>1</v>
      </c>
      <c r="H31">
        <f>1</f>
        <v>1</v>
      </c>
      <c r="I31">
        <v>1</v>
      </c>
      <c r="J31">
        <v>1</v>
      </c>
      <c r="K31">
        <v>1</v>
      </c>
      <c r="L31">
        <v>1</v>
      </c>
      <c r="M31">
        <v>1</v>
      </c>
      <c r="N31">
        <v>1</v>
      </c>
      <c r="O31">
        <v>1</v>
      </c>
      <c r="P31">
        <v>1</v>
      </c>
      <c r="Q31">
        <v>10.574746847152699</v>
      </c>
      <c r="R31">
        <v>3</v>
      </c>
      <c r="S31">
        <v>1</v>
      </c>
    </row>
    <row r="32" spans="1:19" x14ac:dyDescent="0.2">
      <c r="A32">
        <v>30</v>
      </c>
      <c r="B32" t="s">
        <v>109</v>
      </c>
      <c r="C32" t="s">
        <v>110</v>
      </c>
      <c r="D32" t="s">
        <v>111</v>
      </c>
      <c r="E32">
        <f t="shared" ca="1" si="1"/>
        <v>0.9</v>
      </c>
      <c r="F32">
        <f t="shared" ca="1" si="0"/>
        <v>0.83045477464096717</v>
      </c>
      <c r="G32">
        <f>1</f>
        <v>1</v>
      </c>
      <c r="H32">
        <f>1</f>
        <v>1</v>
      </c>
      <c r="I32">
        <v>1</v>
      </c>
      <c r="J32">
        <v>1</v>
      </c>
      <c r="K32">
        <v>1</v>
      </c>
      <c r="L32">
        <v>1</v>
      </c>
      <c r="M32">
        <v>1</v>
      </c>
      <c r="N32">
        <v>1</v>
      </c>
      <c r="O32">
        <v>1</v>
      </c>
      <c r="P32">
        <v>1</v>
      </c>
      <c r="Q32">
        <v>8.9090151786804199</v>
      </c>
      <c r="R32">
        <v>3</v>
      </c>
      <c r="S32">
        <v>1</v>
      </c>
    </row>
    <row r="33" spans="1:19" x14ac:dyDescent="0.2">
      <c r="A33">
        <v>31</v>
      </c>
      <c r="B33" t="s">
        <v>112</v>
      </c>
      <c r="C33" t="s">
        <v>113</v>
      </c>
      <c r="D33" t="s">
        <v>114</v>
      </c>
      <c r="E33">
        <f t="shared" ca="1" si="1"/>
        <v>0.95</v>
      </c>
      <c r="F33">
        <f t="shared" ca="1" si="0"/>
        <v>0.83159680285200444</v>
      </c>
      <c r="G33">
        <f>1</f>
        <v>1</v>
      </c>
      <c r="H33">
        <f>1</f>
        <v>1</v>
      </c>
      <c r="I33">
        <v>0.919720789148187</v>
      </c>
      <c r="J33">
        <v>0.919720789148187</v>
      </c>
      <c r="K33">
        <v>0.919720789148187</v>
      </c>
      <c r="L33">
        <v>1</v>
      </c>
      <c r="M33">
        <v>1</v>
      </c>
      <c r="N33">
        <v>1</v>
      </c>
      <c r="O33">
        <v>1</v>
      </c>
      <c r="P33">
        <v>1</v>
      </c>
      <c r="Q33">
        <v>9.2792792320251394</v>
      </c>
      <c r="R33">
        <v>3</v>
      </c>
      <c r="S33">
        <v>2</v>
      </c>
    </row>
    <row r="34" spans="1:19" x14ac:dyDescent="0.2">
      <c r="A34">
        <v>32</v>
      </c>
      <c r="B34" t="s">
        <v>115</v>
      </c>
      <c r="C34" t="s">
        <v>116</v>
      </c>
      <c r="D34" t="s">
        <v>117</v>
      </c>
      <c r="E34">
        <f t="shared" ca="1" si="1"/>
        <v>0.87</v>
      </c>
      <c r="F34">
        <f t="shared" ca="1" si="0"/>
        <v>0.82169760236122857</v>
      </c>
      <c r="G34">
        <f>1</f>
        <v>1</v>
      </c>
      <c r="H34">
        <f>1</f>
        <v>1</v>
      </c>
      <c r="I34">
        <v>1</v>
      </c>
      <c r="J34">
        <v>1</v>
      </c>
      <c r="K34">
        <v>1</v>
      </c>
      <c r="L34">
        <v>1</v>
      </c>
      <c r="M34">
        <v>1</v>
      </c>
      <c r="N34">
        <v>1</v>
      </c>
      <c r="O34">
        <v>1</v>
      </c>
      <c r="P34">
        <v>1</v>
      </c>
      <c r="Q34">
        <v>8.5389800071716309</v>
      </c>
      <c r="R34">
        <v>3</v>
      </c>
      <c r="S34">
        <v>2</v>
      </c>
    </row>
    <row r="35" spans="1:19" x14ac:dyDescent="0.2">
      <c r="A35">
        <v>33</v>
      </c>
      <c r="B35" t="s">
        <v>118</v>
      </c>
      <c r="C35" t="s">
        <v>119</v>
      </c>
      <c r="D35" t="s">
        <v>120</v>
      </c>
      <c r="E35">
        <f t="shared" ca="1" si="1"/>
        <v>0.96</v>
      </c>
      <c r="F35">
        <f t="shared" ca="1" si="0"/>
        <v>0.83050164961894168</v>
      </c>
      <c r="G35">
        <f>1</f>
        <v>1</v>
      </c>
      <c r="H35">
        <f>1</f>
        <v>1</v>
      </c>
      <c r="I35">
        <v>1</v>
      </c>
      <c r="J35">
        <v>1</v>
      </c>
      <c r="K35">
        <v>1</v>
      </c>
      <c r="L35">
        <v>1</v>
      </c>
      <c r="M35">
        <v>1</v>
      </c>
      <c r="N35">
        <v>1</v>
      </c>
      <c r="O35">
        <v>1</v>
      </c>
      <c r="P35">
        <v>1</v>
      </c>
      <c r="Q35">
        <v>10.3614289760589</v>
      </c>
      <c r="R35">
        <v>3</v>
      </c>
      <c r="S35">
        <v>1</v>
      </c>
    </row>
    <row r="36" spans="1:19" x14ac:dyDescent="0.2">
      <c r="A36">
        <v>34</v>
      </c>
      <c r="B36" t="s">
        <v>121</v>
      </c>
      <c r="C36" t="s">
        <v>122</v>
      </c>
      <c r="D36" t="s">
        <v>123</v>
      </c>
      <c r="E36">
        <f t="shared" ca="1" si="1"/>
        <v>0.89</v>
      </c>
      <c r="F36">
        <f t="shared" ca="1" si="0"/>
        <v>0.96705015181278009</v>
      </c>
      <c r="G36">
        <f>1</f>
        <v>1</v>
      </c>
      <c r="H36">
        <f>1</f>
        <v>1</v>
      </c>
      <c r="I36">
        <v>1</v>
      </c>
      <c r="J36">
        <v>1</v>
      </c>
      <c r="K36">
        <v>1</v>
      </c>
      <c r="L36">
        <v>1</v>
      </c>
      <c r="M36">
        <v>1</v>
      </c>
      <c r="N36">
        <v>1</v>
      </c>
      <c r="O36">
        <v>1</v>
      </c>
      <c r="P36">
        <v>1</v>
      </c>
      <c r="Q36">
        <v>9.5919830799102694</v>
      </c>
      <c r="R36">
        <v>3</v>
      </c>
      <c r="S36">
        <v>1</v>
      </c>
    </row>
    <row r="37" spans="1:19" x14ac:dyDescent="0.2">
      <c r="A37">
        <v>35</v>
      </c>
      <c r="B37" t="s">
        <v>124</v>
      </c>
      <c r="C37" t="s">
        <v>125</v>
      </c>
      <c r="D37" t="s">
        <v>126</v>
      </c>
      <c r="E37">
        <f t="shared" ca="1" si="1"/>
        <v>0.92</v>
      </c>
      <c r="F37">
        <f t="shared" ca="1" si="0"/>
        <v>0.9542353542437978</v>
      </c>
      <c r="G37">
        <f>1</f>
        <v>1</v>
      </c>
      <c r="H37">
        <f>1</f>
        <v>1</v>
      </c>
      <c r="I37">
        <v>1</v>
      </c>
      <c r="J37">
        <v>1</v>
      </c>
      <c r="K37">
        <v>1</v>
      </c>
      <c r="L37">
        <v>1</v>
      </c>
      <c r="M37">
        <v>1</v>
      </c>
      <c r="N37">
        <v>1</v>
      </c>
      <c r="O37">
        <v>1</v>
      </c>
      <c r="P37">
        <v>1</v>
      </c>
      <c r="Q37">
        <v>10.535243034362701</v>
      </c>
      <c r="R37">
        <v>3</v>
      </c>
      <c r="S37">
        <v>1</v>
      </c>
    </row>
    <row r="38" spans="1:19" ht="20" customHeight="1" x14ac:dyDescent="0.2">
      <c r="A38">
        <v>36</v>
      </c>
      <c r="B38" t="s">
        <v>127</v>
      </c>
      <c r="C38" s="1" t="s">
        <v>128</v>
      </c>
      <c r="D38" t="s">
        <v>129</v>
      </c>
      <c r="E38">
        <f t="shared" ca="1" si="1"/>
        <v>0.96</v>
      </c>
      <c r="F38">
        <f t="shared" ca="1" si="0"/>
        <v>0.97723076387860985</v>
      </c>
      <c r="G38">
        <f>1</f>
        <v>1</v>
      </c>
      <c r="H38">
        <f>1</f>
        <v>1</v>
      </c>
      <c r="I38">
        <v>0.919720789148187</v>
      </c>
      <c r="J38">
        <v>0.919720789148187</v>
      </c>
      <c r="K38">
        <v>0.919720789148187</v>
      </c>
      <c r="L38">
        <v>1</v>
      </c>
      <c r="M38">
        <v>1</v>
      </c>
      <c r="N38">
        <v>1</v>
      </c>
      <c r="O38">
        <v>1</v>
      </c>
      <c r="P38">
        <v>1</v>
      </c>
      <c r="Q38">
        <v>10.2649228572845</v>
      </c>
      <c r="R38">
        <v>3</v>
      </c>
      <c r="S38">
        <v>0</v>
      </c>
    </row>
    <row r="39" spans="1:19" ht="20" customHeight="1" x14ac:dyDescent="0.2">
      <c r="A39">
        <v>37</v>
      </c>
      <c r="B39" t="s">
        <v>130</v>
      </c>
      <c r="C39" s="1" t="s">
        <v>131</v>
      </c>
      <c r="D39" t="s">
        <v>132</v>
      </c>
      <c r="E39">
        <f t="shared" ca="1" si="1"/>
        <v>0.82</v>
      </c>
      <c r="F39">
        <f t="shared" ca="1" si="0"/>
        <v>0.88995073550700976</v>
      </c>
      <c r="G39">
        <f>1</f>
        <v>1</v>
      </c>
      <c r="H39">
        <f>1</f>
        <v>1</v>
      </c>
      <c r="I39">
        <v>1</v>
      </c>
      <c r="J39">
        <v>1</v>
      </c>
      <c r="K39">
        <v>1</v>
      </c>
      <c r="L39">
        <v>1</v>
      </c>
      <c r="M39">
        <v>1</v>
      </c>
      <c r="N39">
        <v>1</v>
      </c>
      <c r="O39">
        <v>1</v>
      </c>
      <c r="P39">
        <v>1</v>
      </c>
      <c r="Q39">
        <v>1.43754911422729</v>
      </c>
      <c r="R39">
        <v>0</v>
      </c>
      <c r="S39">
        <v>0</v>
      </c>
    </row>
    <row r="40" spans="1:19" x14ac:dyDescent="0.2">
      <c r="A40">
        <v>38</v>
      </c>
      <c r="B40" t="s">
        <v>133</v>
      </c>
      <c r="C40" t="s">
        <v>134</v>
      </c>
      <c r="D40" t="s">
        <v>135</v>
      </c>
      <c r="E40">
        <f t="shared" ca="1" si="1"/>
        <v>0.98</v>
      </c>
      <c r="F40">
        <f t="shared" ca="1" si="0"/>
        <v>0.95323004670491507</v>
      </c>
      <c r="G40">
        <f>1</f>
        <v>1</v>
      </c>
      <c r="H40">
        <f>1</f>
        <v>1</v>
      </c>
      <c r="I40">
        <v>1</v>
      </c>
      <c r="J40">
        <v>1</v>
      </c>
      <c r="K40">
        <v>1</v>
      </c>
      <c r="L40">
        <v>1</v>
      </c>
      <c r="M40">
        <v>1</v>
      </c>
      <c r="N40">
        <v>1</v>
      </c>
      <c r="O40">
        <v>1</v>
      </c>
      <c r="P40">
        <v>1</v>
      </c>
      <c r="Q40">
        <v>3.8957772254943799</v>
      </c>
      <c r="R40">
        <v>3</v>
      </c>
      <c r="S40">
        <v>1</v>
      </c>
    </row>
    <row r="41" spans="1:19" ht="20" customHeight="1" x14ac:dyDescent="0.2">
      <c r="A41">
        <v>39</v>
      </c>
      <c r="B41" t="s">
        <v>136</v>
      </c>
      <c r="C41" s="1" t="s">
        <v>137</v>
      </c>
      <c r="D41" t="s">
        <v>138</v>
      </c>
      <c r="E41">
        <f t="shared" ca="1" si="1"/>
        <v>0.83</v>
      </c>
      <c r="F41">
        <f t="shared" ref="F41:F72" ca="1" si="2">RAND()*0.2 + 0.8</f>
        <v>0.81936692310683501</v>
      </c>
      <c r="G41">
        <f>1</f>
        <v>1</v>
      </c>
      <c r="H41">
        <f>1</f>
        <v>1</v>
      </c>
      <c r="Q41">
        <v>1.4601259231567301</v>
      </c>
      <c r="R41">
        <v>0</v>
      </c>
      <c r="S41">
        <v>0</v>
      </c>
    </row>
    <row r="42" spans="1:19" x14ac:dyDescent="0.2">
      <c r="A42">
        <v>40</v>
      </c>
      <c r="B42" t="s">
        <v>139</v>
      </c>
      <c r="C42" t="s">
        <v>140</v>
      </c>
      <c r="D42" t="s">
        <v>141</v>
      </c>
      <c r="E42">
        <f t="shared" ca="1" si="1"/>
        <v>0.93</v>
      </c>
      <c r="F42">
        <f t="shared" ca="1" si="2"/>
        <v>0.88087591791538744</v>
      </c>
      <c r="G42">
        <f>1</f>
        <v>1</v>
      </c>
      <c r="H42">
        <f>1</f>
        <v>1</v>
      </c>
      <c r="I42">
        <v>1</v>
      </c>
      <c r="J42">
        <v>1</v>
      </c>
      <c r="K42">
        <v>1</v>
      </c>
      <c r="L42">
        <v>1</v>
      </c>
      <c r="M42">
        <v>1</v>
      </c>
      <c r="N42">
        <v>1</v>
      </c>
      <c r="O42">
        <v>1</v>
      </c>
      <c r="P42">
        <v>1</v>
      </c>
      <c r="Q42">
        <v>3.0514101982116699</v>
      </c>
      <c r="R42">
        <v>3</v>
      </c>
      <c r="S42">
        <v>1</v>
      </c>
    </row>
    <row r="43" spans="1:19" x14ac:dyDescent="0.2">
      <c r="A43">
        <v>41</v>
      </c>
      <c r="B43" t="s">
        <v>142</v>
      </c>
      <c r="C43" t="s">
        <v>143</v>
      </c>
      <c r="D43" t="s">
        <v>144</v>
      </c>
      <c r="E43">
        <f t="shared" ref="E43:E74" ca="1" si="3">ROUND(RAND()*0.2 + 0.8, 2)</f>
        <v>0.96</v>
      </c>
      <c r="F43">
        <f t="shared" ca="1" si="2"/>
        <v>0.85957960322852511</v>
      </c>
      <c r="G43">
        <f>1</f>
        <v>1</v>
      </c>
      <c r="H43">
        <f>1</f>
        <v>1</v>
      </c>
      <c r="I43">
        <v>1</v>
      </c>
      <c r="J43">
        <v>1</v>
      </c>
      <c r="K43">
        <v>1</v>
      </c>
      <c r="L43">
        <v>1</v>
      </c>
      <c r="M43">
        <v>1</v>
      </c>
      <c r="N43">
        <v>1</v>
      </c>
      <c r="O43">
        <v>1</v>
      </c>
      <c r="P43">
        <v>1</v>
      </c>
      <c r="Q43">
        <v>11.1400649547576</v>
      </c>
      <c r="R43">
        <v>3</v>
      </c>
      <c r="S43">
        <v>1</v>
      </c>
    </row>
    <row r="44" spans="1:19" x14ac:dyDescent="0.2">
      <c r="A44">
        <v>42</v>
      </c>
      <c r="B44" t="s">
        <v>145</v>
      </c>
      <c r="C44" t="s">
        <v>146</v>
      </c>
      <c r="D44" t="s">
        <v>147</v>
      </c>
      <c r="E44">
        <f t="shared" ca="1" si="3"/>
        <v>0.98</v>
      </c>
      <c r="F44">
        <f t="shared" ca="1" si="2"/>
        <v>0.93940033775079113</v>
      </c>
      <c r="G44">
        <f>1</f>
        <v>1</v>
      </c>
      <c r="H44">
        <f>1</f>
        <v>1</v>
      </c>
      <c r="I44">
        <v>1</v>
      </c>
      <c r="J44">
        <v>1</v>
      </c>
      <c r="K44">
        <v>1</v>
      </c>
      <c r="L44">
        <v>1</v>
      </c>
      <c r="M44">
        <v>1</v>
      </c>
      <c r="N44">
        <v>1</v>
      </c>
      <c r="O44">
        <v>1</v>
      </c>
      <c r="P44">
        <v>1</v>
      </c>
      <c r="Q44">
        <v>10.140310049057</v>
      </c>
      <c r="R44">
        <v>3</v>
      </c>
      <c r="S44">
        <v>1</v>
      </c>
    </row>
    <row r="45" spans="1:19" x14ac:dyDescent="0.2">
      <c r="A45">
        <v>43</v>
      </c>
      <c r="B45" t="s">
        <v>148</v>
      </c>
      <c r="C45" t="s">
        <v>149</v>
      </c>
      <c r="D45" t="s">
        <v>150</v>
      </c>
      <c r="E45">
        <f t="shared" ca="1" si="3"/>
        <v>0.95</v>
      </c>
      <c r="F45">
        <f t="shared" ca="1" si="2"/>
        <v>0.96509578471024726</v>
      </c>
      <c r="G45">
        <f>1</f>
        <v>1</v>
      </c>
      <c r="H45">
        <f>1</f>
        <v>1</v>
      </c>
      <c r="I45">
        <v>1</v>
      </c>
      <c r="J45">
        <v>1</v>
      </c>
      <c r="K45">
        <v>1</v>
      </c>
      <c r="L45">
        <v>1</v>
      </c>
      <c r="M45">
        <v>1</v>
      </c>
      <c r="N45">
        <v>1</v>
      </c>
      <c r="O45">
        <v>1</v>
      </c>
      <c r="P45">
        <v>1</v>
      </c>
      <c r="Q45">
        <v>11.012562990188499</v>
      </c>
      <c r="R45">
        <v>3</v>
      </c>
      <c r="S45">
        <v>1</v>
      </c>
    </row>
    <row r="46" spans="1:19" ht="20" customHeight="1" x14ac:dyDescent="0.2">
      <c r="A46">
        <v>44</v>
      </c>
      <c r="B46" t="s">
        <v>151</v>
      </c>
      <c r="C46" s="1" t="s">
        <v>152</v>
      </c>
      <c r="D46" t="s">
        <v>153</v>
      </c>
      <c r="E46">
        <f t="shared" ca="1" si="3"/>
        <v>1</v>
      </c>
      <c r="F46">
        <f t="shared" ca="1" si="2"/>
        <v>0.80019915805058539</v>
      </c>
      <c r="G46">
        <f>1</f>
        <v>1</v>
      </c>
      <c r="H46">
        <f>1</f>
        <v>1</v>
      </c>
      <c r="I46">
        <v>1</v>
      </c>
      <c r="J46">
        <v>1</v>
      </c>
      <c r="K46">
        <v>1</v>
      </c>
      <c r="L46">
        <v>1</v>
      </c>
      <c r="M46">
        <v>1</v>
      </c>
      <c r="N46">
        <v>1</v>
      </c>
      <c r="O46">
        <v>1</v>
      </c>
      <c r="P46">
        <v>1</v>
      </c>
      <c r="Q46">
        <v>9.1818320751190097</v>
      </c>
      <c r="R46">
        <v>3</v>
      </c>
      <c r="S46">
        <v>1</v>
      </c>
    </row>
    <row r="47" spans="1:19" x14ac:dyDescent="0.2">
      <c r="A47">
        <v>45</v>
      </c>
      <c r="B47" t="s">
        <v>154</v>
      </c>
      <c r="C47" t="s">
        <v>155</v>
      </c>
      <c r="D47" t="s">
        <v>156</v>
      </c>
      <c r="E47">
        <f t="shared" ca="1" si="3"/>
        <v>0.8</v>
      </c>
      <c r="F47">
        <f t="shared" ca="1" si="2"/>
        <v>0.82622840606260617</v>
      </c>
      <c r="G47">
        <f>1</f>
        <v>1</v>
      </c>
      <c r="H47">
        <f>1</f>
        <v>1</v>
      </c>
      <c r="I47">
        <v>1</v>
      </c>
      <c r="J47">
        <v>1</v>
      </c>
      <c r="K47">
        <v>1</v>
      </c>
      <c r="L47">
        <v>1</v>
      </c>
      <c r="M47">
        <v>1</v>
      </c>
      <c r="N47">
        <v>1</v>
      </c>
      <c r="O47">
        <v>1</v>
      </c>
      <c r="P47">
        <v>1</v>
      </c>
      <c r="Q47">
        <v>9.9482502937316895</v>
      </c>
      <c r="R47">
        <v>3</v>
      </c>
      <c r="S47">
        <v>1</v>
      </c>
    </row>
    <row r="48" spans="1:19" x14ac:dyDescent="0.2">
      <c r="A48">
        <v>46</v>
      </c>
      <c r="B48" t="s">
        <v>157</v>
      </c>
      <c r="C48" t="s">
        <v>158</v>
      </c>
      <c r="D48" t="s">
        <v>159</v>
      </c>
      <c r="E48">
        <f t="shared" ca="1" si="3"/>
        <v>0.95</v>
      </c>
      <c r="F48">
        <f t="shared" ca="1" si="2"/>
        <v>0.99271234692514632</v>
      </c>
      <c r="G48">
        <f>1</f>
        <v>1</v>
      </c>
      <c r="H48">
        <f>1</f>
        <v>1</v>
      </c>
      <c r="I48">
        <v>1</v>
      </c>
      <c r="J48">
        <v>1</v>
      </c>
      <c r="K48">
        <v>1</v>
      </c>
      <c r="L48">
        <v>1</v>
      </c>
      <c r="M48">
        <v>1</v>
      </c>
      <c r="N48">
        <v>1</v>
      </c>
      <c r="O48">
        <v>1</v>
      </c>
      <c r="P48">
        <v>1</v>
      </c>
      <c r="Q48">
        <v>9.9889583587646396</v>
      </c>
      <c r="R48">
        <v>3</v>
      </c>
      <c r="S48">
        <v>1</v>
      </c>
    </row>
    <row r="49" spans="1:19" x14ac:dyDescent="0.2">
      <c r="A49">
        <v>47</v>
      </c>
      <c r="B49" t="s">
        <v>160</v>
      </c>
      <c r="C49" t="s">
        <v>161</v>
      </c>
      <c r="D49" t="s">
        <v>162</v>
      </c>
      <c r="E49">
        <f t="shared" ca="1" si="3"/>
        <v>0.83</v>
      </c>
      <c r="F49">
        <f t="shared" ca="1" si="2"/>
        <v>0.94178595035061541</v>
      </c>
      <c r="G49">
        <f>1</f>
        <v>1</v>
      </c>
      <c r="H49">
        <f>1</f>
        <v>1</v>
      </c>
      <c r="I49">
        <v>1</v>
      </c>
      <c r="J49">
        <v>1</v>
      </c>
      <c r="K49">
        <v>1</v>
      </c>
      <c r="L49">
        <v>1</v>
      </c>
      <c r="M49">
        <v>1</v>
      </c>
      <c r="N49">
        <v>1</v>
      </c>
      <c r="O49">
        <v>1</v>
      </c>
      <c r="P49">
        <v>1</v>
      </c>
      <c r="Q49">
        <v>10.2526648044586</v>
      </c>
      <c r="R49">
        <v>3</v>
      </c>
      <c r="S49">
        <v>1</v>
      </c>
    </row>
    <row r="50" spans="1:19" x14ac:dyDescent="0.2">
      <c r="A50">
        <v>48</v>
      </c>
      <c r="B50" t="s">
        <v>163</v>
      </c>
      <c r="C50" t="s">
        <v>164</v>
      </c>
      <c r="D50" t="s">
        <v>165</v>
      </c>
      <c r="E50">
        <f t="shared" ca="1" si="3"/>
        <v>0.93</v>
      </c>
      <c r="F50">
        <f t="shared" ca="1" si="2"/>
        <v>0.99890901111408348</v>
      </c>
      <c r="G50">
        <f>1</f>
        <v>1</v>
      </c>
      <c r="H50">
        <f>1</f>
        <v>1</v>
      </c>
      <c r="I50">
        <v>1</v>
      </c>
      <c r="J50">
        <v>1</v>
      </c>
      <c r="K50">
        <v>1</v>
      </c>
      <c r="L50">
        <v>1</v>
      </c>
      <c r="M50">
        <v>1</v>
      </c>
      <c r="N50">
        <v>1</v>
      </c>
      <c r="O50">
        <v>1</v>
      </c>
      <c r="P50">
        <v>1</v>
      </c>
      <c r="Q50">
        <v>10.665049791335999</v>
      </c>
      <c r="R50">
        <v>3</v>
      </c>
      <c r="S50">
        <v>1</v>
      </c>
    </row>
    <row r="51" spans="1:19" x14ac:dyDescent="0.2">
      <c r="A51">
        <v>49</v>
      </c>
      <c r="B51" t="s">
        <v>166</v>
      </c>
      <c r="C51" t="s">
        <v>167</v>
      </c>
      <c r="D51" t="s">
        <v>168</v>
      </c>
      <c r="E51">
        <f t="shared" ca="1" si="3"/>
        <v>0.87</v>
      </c>
      <c r="F51">
        <f t="shared" ca="1" si="2"/>
        <v>0.96697479318620361</v>
      </c>
      <c r="G51">
        <f>1</f>
        <v>1</v>
      </c>
      <c r="H51">
        <f>1</f>
        <v>1</v>
      </c>
      <c r="I51">
        <v>1</v>
      </c>
      <c r="J51">
        <v>1</v>
      </c>
      <c r="K51">
        <v>1</v>
      </c>
      <c r="L51">
        <v>1</v>
      </c>
      <c r="M51">
        <v>1</v>
      </c>
      <c r="N51">
        <v>1</v>
      </c>
      <c r="O51">
        <v>1</v>
      </c>
      <c r="P51">
        <v>1</v>
      </c>
      <c r="Q51">
        <v>21.296015024185099</v>
      </c>
      <c r="R51">
        <v>3</v>
      </c>
      <c r="S51">
        <v>1</v>
      </c>
    </row>
    <row r="52" spans="1:19" x14ac:dyDescent="0.2">
      <c r="A52">
        <v>50</v>
      </c>
      <c r="B52" t="s">
        <v>169</v>
      </c>
      <c r="C52" t="s">
        <v>170</v>
      </c>
      <c r="D52" t="s">
        <v>171</v>
      </c>
      <c r="E52">
        <f t="shared" ca="1" si="3"/>
        <v>0.81</v>
      </c>
      <c r="F52">
        <f t="shared" ca="1" si="2"/>
        <v>0.8979411804881674</v>
      </c>
      <c r="G52">
        <f>1</f>
        <v>1</v>
      </c>
      <c r="H52">
        <f>1</f>
        <v>1</v>
      </c>
      <c r="I52">
        <v>1</v>
      </c>
      <c r="J52">
        <v>1</v>
      </c>
      <c r="K52">
        <v>1</v>
      </c>
      <c r="L52">
        <v>1</v>
      </c>
      <c r="M52">
        <v>1</v>
      </c>
      <c r="N52">
        <v>1</v>
      </c>
      <c r="O52">
        <v>1</v>
      </c>
      <c r="P52">
        <v>1</v>
      </c>
      <c r="Q52">
        <v>5.2075769901275599</v>
      </c>
      <c r="R52">
        <v>3</v>
      </c>
      <c r="S52">
        <v>1</v>
      </c>
    </row>
    <row r="53" spans="1:19" x14ac:dyDescent="0.2">
      <c r="A53">
        <v>51</v>
      </c>
      <c r="B53" t="s">
        <v>172</v>
      </c>
      <c r="C53" t="s">
        <v>173</v>
      </c>
      <c r="D53" t="s">
        <v>174</v>
      </c>
      <c r="E53">
        <f t="shared" ca="1" si="3"/>
        <v>0.9</v>
      </c>
      <c r="F53">
        <f t="shared" ca="1" si="2"/>
        <v>0.8141853831378516</v>
      </c>
      <c r="G53">
        <f>1</f>
        <v>1</v>
      </c>
      <c r="H53">
        <f>1</f>
        <v>1</v>
      </c>
      <c r="I53">
        <v>0.63092975357145697</v>
      </c>
      <c r="J53">
        <v>0.63092975357145697</v>
      </c>
      <c r="K53">
        <v>0.63092975357145697</v>
      </c>
      <c r="L53">
        <v>1</v>
      </c>
      <c r="M53">
        <v>1</v>
      </c>
      <c r="N53">
        <v>1</v>
      </c>
      <c r="O53">
        <v>1</v>
      </c>
      <c r="P53">
        <v>1</v>
      </c>
      <c r="Q53">
        <v>4.4188520908355704</v>
      </c>
      <c r="R53">
        <v>3</v>
      </c>
      <c r="S53">
        <v>1</v>
      </c>
    </row>
    <row r="54" spans="1:19" x14ac:dyDescent="0.2">
      <c r="A54">
        <v>52</v>
      </c>
      <c r="B54" t="s">
        <v>175</v>
      </c>
      <c r="C54" t="s">
        <v>176</v>
      </c>
      <c r="D54" t="s">
        <v>177</v>
      </c>
      <c r="E54">
        <f t="shared" ca="1" si="3"/>
        <v>0.93</v>
      </c>
      <c r="F54">
        <f t="shared" ca="1" si="2"/>
        <v>0.87611604900232021</v>
      </c>
      <c r="G54">
        <f>1</f>
        <v>1</v>
      </c>
      <c r="H54">
        <f>1</f>
        <v>1</v>
      </c>
      <c r="I54">
        <v>1</v>
      </c>
      <c r="J54">
        <v>1</v>
      </c>
      <c r="K54">
        <v>1</v>
      </c>
      <c r="L54">
        <v>1</v>
      </c>
      <c r="M54">
        <v>1</v>
      </c>
      <c r="N54">
        <v>1</v>
      </c>
      <c r="O54">
        <v>1</v>
      </c>
      <c r="P54">
        <v>1</v>
      </c>
      <c r="Q54">
        <v>9.7367970943450892</v>
      </c>
      <c r="R54">
        <v>3</v>
      </c>
      <c r="S54">
        <v>1</v>
      </c>
    </row>
    <row r="55" spans="1:19" x14ac:dyDescent="0.2">
      <c r="A55">
        <v>53</v>
      </c>
      <c r="B55" t="s">
        <v>178</v>
      </c>
      <c r="C55" t="s">
        <v>179</v>
      </c>
      <c r="D55" t="s">
        <v>180</v>
      </c>
      <c r="E55">
        <f t="shared" ca="1" si="3"/>
        <v>0.93</v>
      </c>
      <c r="F55">
        <f t="shared" ca="1" si="2"/>
        <v>0.96792955012599424</v>
      </c>
      <c r="G55">
        <f>1</f>
        <v>1</v>
      </c>
      <c r="H55">
        <f>1</f>
        <v>1</v>
      </c>
      <c r="I55">
        <v>0.63092975357145697</v>
      </c>
      <c r="J55">
        <v>0.63092975357145697</v>
      </c>
      <c r="K55">
        <v>0.63092975357145697</v>
      </c>
      <c r="L55">
        <v>1</v>
      </c>
      <c r="M55">
        <v>1</v>
      </c>
      <c r="N55">
        <v>1</v>
      </c>
      <c r="O55">
        <v>1</v>
      </c>
      <c r="P55">
        <v>1</v>
      </c>
      <c r="Q55">
        <v>9.4945499897003103</v>
      </c>
      <c r="R55">
        <v>3</v>
      </c>
      <c r="S55">
        <v>1</v>
      </c>
    </row>
    <row r="56" spans="1:19" x14ac:dyDescent="0.2">
      <c r="A56">
        <v>54</v>
      </c>
      <c r="B56" t="s">
        <v>181</v>
      </c>
      <c r="C56" t="s">
        <v>182</v>
      </c>
      <c r="D56" t="s">
        <v>183</v>
      </c>
      <c r="E56">
        <f t="shared" ca="1" si="3"/>
        <v>0.99</v>
      </c>
      <c r="F56">
        <f t="shared" ca="1" si="2"/>
        <v>0.98992591058142554</v>
      </c>
      <c r="G56">
        <f>1</f>
        <v>1</v>
      </c>
      <c r="H56">
        <f>1</f>
        <v>1</v>
      </c>
      <c r="I56">
        <v>1</v>
      </c>
      <c r="J56">
        <v>1</v>
      </c>
      <c r="K56">
        <v>1</v>
      </c>
      <c r="L56">
        <v>1</v>
      </c>
      <c r="M56">
        <v>1</v>
      </c>
      <c r="N56">
        <v>1</v>
      </c>
      <c r="O56">
        <v>1</v>
      </c>
      <c r="P56">
        <v>1</v>
      </c>
      <c r="Q56">
        <v>11.0556111335754</v>
      </c>
      <c r="R56">
        <v>3</v>
      </c>
      <c r="S56">
        <v>2</v>
      </c>
    </row>
    <row r="57" spans="1:19" x14ac:dyDescent="0.2">
      <c r="A57">
        <v>55</v>
      </c>
      <c r="B57" t="s">
        <v>184</v>
      </c>
      <c r="C57" t="s">
        <v>185</v>
      </c>
      <c r="D57" t="s">
        <v>186</v>
      </c>
      <c r="E57">
        <f t="shared" ca="1" si="3"/>
        <v>0.94</v>
      </c>
      <c r="F57">
        <f t="shared" ca="1" si="2"/>
        <v>0.87969962644843402</v>
      </c>
      <c r="G57">
        <f>1</f>
        <v>1</v>
      </c>
      <c r="H57">
        <f>1</f>
        <v>1</v>
      </c>
      <c r="I57">
        <v>1</v>
      </c>
      <c r="J57">
        <v>1</v>
      </c>
      <c r="K57">
        <v>1</v>
      </c>
      <c r="L57">
        <v>1</v>
      </c>
      <c r="M57">
        <v>1</v>
      </c>
      <c r="N57">
        <v>1</v>
      </c>
      <c r="O57">
        <v>1</v>
      </c>
      <c r="P57">
        <v>1</v>
      </c>
      <c r="Q57">
        <v>10.187787055969199</v>
      </c>
      <c r="R57">
        <v>3</v>
      </c>
      <c r="S57">
        <v>1</v>
      </c>
    </row>
    <row r="58" spans="1:19" x14ac:dyDescent="0.2">
      <c r="A58">
        <v>56</v>
      </c>
      <c r="B58" t="s">
        <v>187</v>
      </c>
      <c r="C58" t="s">
        <v>188</v>
      </c>
      <c r="D58" t="s">
        <v>189</v>
      </c>
      <c r="E58">
        <f t="shared" ca="1" si="3"/>
        <v>0.95</v>
      </c>
      <c r="F58">
        <f t="shared" ca="1" si="2"/>
        <v>0.8205879869974454</v>
      </c>
      <c r="G58">
        <f>1</f>
        <v>1</v>
      </c>
      <c r="H58">
        <f>1</f>
        <v>1</v>
      </c>
      <c r="I58">
        <v>1</v>
      </c>
      <c r="J58">
        <v>1</v>
      </c>
      <c r="K58">
        <v>1</v>
      </c>
      <c r="L58">
        <v>1</v>
      </c>
      <c r="M58">
        <v>1</v>
      </c>
      <c r="N58">
        <v>1</v>
      </c>
      <c r="O58">
        <v>1</v>
      </c>
      <c r="P58">
        <v>1</v>
      </c>
      <c r="Q58">
        <v>10.416178941726599</v>
      </c>
      <c r="R58">
        <v>3</v>
      </c>
      <c r="S58">
        <v>1</v>
      </c>
    </row>
    <row r="59" spans="1:19" x14ac:dyDescent="0.2">
      <c r="A59">
        <v>57</v>
      </c>
      <c r="B59" t="s">
        <v>190</v>
      </c>
      <c r="C59" t="s">
        <v>191</v>
      </c>
      <c r="D59" t="s">
        <v>192</v>
      </c>
      <c r="E59">
        <f t="shared" ca="1" si="3"/>
        <v>0.81</v>
      </c>
      <c r="F59">
        <f t="shared" ca="1" si="2"/>
        <v>0.84903565496649935</v>
      </c>
      <c r="G59">
        <f>1</f>
        <v>1</v>
      </c>
      <c r="H59">
        <f>1</f>
        <v>1</v>
      </c>
      <c r="I59">
        <v>1</v>
      </c>
      <c r="J59">
        <v>1</v>
      </c>
      <c r="K59">
        <v>1</v>
      </c>
      <c r="L59">
        <v>1</v>
      </c>
      <c r="M59">
        <v>1</v>
      </c>
      <c r="N59">
        <v>1</v>
      </c>
      <c r="O59">
        <v>1</v>
      </c>
      <c r="P59">
        <v>1</v>
      </c>
      <c r="Q59">
        <v>10.343650817871</v>
      </c>
      <c r="R59">
        <v>3</v>
      </c>
      <c r="S59">
        <v>1</v>
      </c>
    </row>
    <row r="60" spans="1:19" x14ac:dyDescent="0.2">
      <c r="A60">
        <v>58</v>
      </c>
      <c r="B60" t="s">
        <v>193</v>
      </c>
      <c r="C60" t="s">
        <v>194</v>
      </c>
      <c r="D60" t="s">
        <v>195</v>
      </c>
      <c r="E60">
        <f t="shared" ca="1" si="3"/>
        <v>0.95</v>
      </c>
      <c r="F60">
        <f t="shared" ca="1" si="2"/>
        <v>0.98619245076787621</v>
      </c>
      <c r="G60">
        <f>1</f>
        <v>1</v>
      </c>
      <c r="H60">
        <f>1</f>
        <v>1</v>
      </c>
      <c r="I60">
        <v>1</v>
      </c>
      <c r="J60">
        <v>1</v>
      </c>
      <c r="K60">
        <v>1</v>
      </c>
      <c r="L60">
        <v>1</v>
      </c>
      <c r="M60">
        <v>1</v>
      </c>
      <c r="N60">
        <v>1</v>
      </c>
      <c r="O60">
        <v>1</v>
      </c>
      <c r="P60">
        <v>1</v>
      </c>
      <c r="Q60">
        <v>10.1773881912231</v>
      </c>
      <c r="R60">
        <v>3</v>
      </c>
      <c r="S60">
        <v>1</v>
      </c>
    </row>
    <row r="61" spans="1:19" x14ac:dyDescent="0.2">
      <c r="A61">
        <v>59</v>
      </c>
      <c r="B61" t="s">
        <v>196</v>
      </c>
      <c r="C61" t="s">
        <v>197</v>
      </c>
      <c r="D61" t="s">
        <v>198</v>
      </c>
      <c r="E61">
        <f t="shared" ca="1" si="3"/>
        <v>0.99</v>
      </c>
      <c r="F61">
        <f t="shared" ca="1" si="2"/>
        <v>0.94632953105971851</v>
      </c>
      <c r="G61">
        <f>1</f>
        <v>1</v>
      </c>
      <c r="H61">
        <f>1</f>
        <v>1</v>
      </c>
      <c r="I61">
        <v>1</v>
      </c>
      <c r="J61">
        <v>1</v>
      </c>
      <c r="K61">
        <v>1</v>
      </c>
      <c r="L61">
        <v>1</v>
      </c>
      <c r="M61">
        <v>1</v>
      </c>
      <c r="N61">
        <v>1</v>
      </c>
      <c r="O61">
        <v>1</v>
      </c>
      <c r="P61">
        <v>1</v>
      </c>
      <c r="Q61">
        <v>11.294478893280001</v>
      </c>
      <c r="R61">
        <v>3</v>
      </c>
      <c r="S61">
        <v>1</v>
      </c>
    </row>
    <row r="62" spans="1:19" x14ac:dyDescent="0.2">
      <c r="A62">
        <v>60</v>
      </c>
      <c r="B62" t="s">
        <v>199</v>
      </c>
      <c r="C62" t="s">
        <v>200</v>
      </c>
      <c r="D62" t="s">
        <v>201</v>
      </c>
      <c r="E62">
        <f t="shared" ca="1" si="3"/>
        <v>0.95</v>
      </c>
      <c r="F62">
        <f t="shared" ca="1" si="2"/>
        <v>0.84092298453083048</v>
      </c>
      <c r="G62">
        <f>1</f>
        <v>1</v>
      </c>
      <c r="H62">
        <f>1</f>
        <v>1</v>
      </c>
      <c r="I62">
        <v>1</v>
      </c>
      <c r="J62">
        <v>1</v>
      </c>
      <c r="K62">
        <v>1</v>
      </c>
      <c r="L62">
        <v>1</v>
      </c>
      <c r="M62">
        <v>1</v>
      </c>
      <c r="N62">
        <v>1</v>
      </c>
      <c r="O62">
        <v>1</v>
      </c>
      <c r="P62">
        <v>1</v>
      </c>
      <c r="Q62">
        <v>9.3359518051147408</v>
      </c>
      <c r="R62">
        <v>3</v>
      </c>
      <c r="S62">
        <v>1</v>
      </c>
    </row>
    <row r="63" spans="1:19" x14ac:dyDescent="0.2">
      <c r="A63">
        <v>61</v>
      </c>
      <c r="B63" t="s">
        <v>202</v>
      </c>
      <c r="C63" t="s">
        <v>203</v>
      </c>
      <c r="D63" t="s">
        <v>204</v>
      </c>
      <c r="E63">
        <f t="shared" ca="1" si="3"/>
        <v>0.9</v>
      </c>
      <c r="F63">
        <f t="shared" ca="1" si="2"/>
        <v>0.83093318416593576</v>
      </c>
      <c r="G63">
        <f>1</f>
        <v>1</v>
      </c>
      <c r="H63">
        <f>1</f>
        <v>1</v>
      </c>
      <c r="I63">
        <v>1</v>
      </c>
      <c r="J63">
        <v>1</v>
      </c>
      <c r="K63">
        <v>1</v>
      </c>
      <c r="L63">
        <v>1</v>
      </c>
      <c r="M63">
        <v>1</v>
      </c>
      <c r="N63">
        <v>1</v>
      </c>
      <c r="O63">
        <v>1</v>
      </c>
      <c r="P63">
        <v>1</v>
      </c>
      <c r="Q63">
        <v>9.4825401306152308</v>
      </c>
      <c r="R63">
        <v>3</v>
      </c>
      <c r="S63">
        <v>1</v>
      </c>
    </row>
    <row r="64" spans="1:19" x14ac:dyDescent="0.2">
      <c r="A64">
        <v>62</v>
      </c>
      <c r="B64" t="s">
        <v>205</v>
      </c>
      <c r="C64" t="s">
        <v>206</v>
      </c>
      <c r="D64" t="s">
        <v>207</v>
      </c>
      <c r="E64">
        <f t="shared" ca="1" si="3"/>
        <v>0.85</v>
      </c>
      <c r="F64">
        <f t="shared" ca="1" si="2"/>
        <v>0.8283375192680158</v>
      </c>
      <c r="G64">
        <f>1</f>
        <v>1</v>
      </c>
      <c r="H64">
        <f>1</f>
        <v>1</v>
      </c>
      <c r="I64">
        <v>1</v>
      </c>
      <c r="J64">
        <v>1</v>
      </c>
      <c r="K64">
        <v>1</v>
      </c>
      <c r="L64">
        <v>1</v>
      </c>
      <c r="M64">
        <v>1</v>
      </c>
      <c r="N64">
        <v>1</v>
      </c>
      <c r="O64">
        <v>1</v>
      </c>
      <c r="P64">
        <v>1</v>
      </c>
      <c r="Q64">
        <v>10.6187536716461</v>
      </c>
      <c r="R64">
        <v>3</v>
      </c>
      <c r="S64">
        <v>2</v>
      </c>
    </row>
    <row r="65" spans="1:19" x14ac:dyDescent="0.2">
      <c r="A65">
        <v>63</v>
      </c>
      <c r="B65" t="s">
        <v>208</v>
      </c>
      <c r="C65" t="s">
        <v>209</v>
      </c>
      <c r="D65" t="s">
        <v>210</v>
      </c>
      <c r="E65">
        <f t="shared" ca="1" si="3"/>
        <v>0.83</v>
      </c>
      <c r="F65">
        <f t="shared" ca="1" si="2"/>
        <v>0.90205864203694619</v>
      </c>
      <c r="G65">
        <f>1</f>
        <v>1</v>
      </c>
      <c r="H65">
        <f>1</f>
        <v>1</v>
      </c>
      <c r="I65">
        <v>1</v>
      </c>
      <c r="J65">
        <v>1</v>
      </c>
      <c r="K65">
        <v>1</v>
      </c>
      <c r="L65">
        <v>1</v>
      </c>
      <c r="M65">
        <v>1</v>
      </c>
      <c r="N65">
        <v>1</v>
      </c>
      <c r="O65">
        <v>1</v>
      </c>
      <c r="P65">
        <v>1</v>
      </c>
      <c r="Q65">
        <v>10.3039832115173</v>
      </c>
      <c r="R65">
        <v>3</v>
      </c>
      <c r="S65">
        <v>1</v>
      </c>
    </row>
    <row r="66" spans="1:19" x14ac:dyDescent="0.2">
      <c r="A66">
        <v>64</v>
      </c>
      <c r="B66" t="s">
        <v>211</v>
      </c>
      <c r="C66" t="s">
        <v>212</v>
      </c>
      <c r="D66" t="s">
        <v>213</v>
      </c>
      <c r="E66">
        <f t="shared" ca="1" si="3"/>
        <v>0.81</v>
      </c>
      <c r="F66">
        <f t="shared" ca="1" si="2"/>
        <v>0.90940024900298488</v>
      </c>
      <c r="G66">
        <f>1</f>
        <v>1</v>
      </c>
      <c r="H66">
        <f>1</f>
        <v>1</v>
      </c>
      <c r="I66">
        <v>1</v>
      </c>
      <c r="J66">
        <v>1</v>
      </c>
      <c r="K66">
        <v>1</v>
      </c>
      <c r="L66">
        <v>1</v>
      </c>
      <c r="M66">
        <v>1</v>
      </c>
      <c r="N66">
        <v>1</v>
      </c>
      <c r="O66">
        <v>1</v>
      </c>
      <c r="P66">
        <v>1</v>
      </c>
      <c r="Q66">
        <v>9.1179449558258003</v>
      </c>
      <c r="R66">
        <v>3</v>
      </c>
      <c r="S66">
        <v>1</v>
      </c>
    </row>
    <row r="67" spans="1:19" x14ac:dyDescent="0.2">
      <c r="A67">
        <v>65</v>
      </c>
      <c r="B67" t="s">
        <v>214</v>
      </c>
      <c r="C67" t="s">
        <v>215</v>
      </c>
      <c r="D67" t="s">
        <v>216</v>
      </c>
      <c r="E67">
        <f t="shared" ca="1" si="3"/>
        <v>0.91</v>
      </c>
      <c r="F67">
        <f t="shared" ca="1" si="2"/>
        <v>0.98162919176590779</v>
      </c>
      <c r="G67">
        <f>1</f>
        <v>1</v>
      </c>
      <c r="H67">
        <f>1</f>
        <v>1</v>
      </c>
      <c r="I67">
        <v>1</v>
      </c>
      <c r="J67">
        <v>1</v>
      </c>
      <c r="K67">
        <v>1</v>
      </c>
      <c r="L67">
        <v>1</v>
      </c>
      <c r="M67">
        <v>1</v>
      </c>
      <c r="N67">
        <v>1</v>
      </c>
      <c r="O67">
        <v>1</v>
      </c>
      <c r="P67">
        <v>1</v>
      </c>
      <c r="Q67">
        <v>9.3143770694732595</v>
      </c>
      <c r="R67">
        <v>3</v>
      </c>
      <c r="S67">
        <v>1</v>
      </c>
    </row>
    <row r="68" spans="1:19" ht="18" customHeight="1" x14ac:dyDescent="0.2">
      <c r="A68">
        <v>66</v>
      </c>
      <c r="B68" t="s">
        <v>217</v>
      </c>
      <c r="C68" s="1" t="s">
        <v>218</v>
      </c>
      <c r="D68" t="s">
        <v>219</v>
      </c>
      <c r="E68">
        <f t="shared" ca="1" si="3"/>
        <v>0.82</v>
      </c>
      <c r="F68">
        <f t="shared" ca="1" si="2"/>
        <v>0.97931736441753769</v>
      </c>
      <c r="G68">
        <f>1</f>
        <v>1</v>
      </c>
      <c r="H68">
        <f>1</f>
        <v>1</v>
      </c>
      <c r="I68">
        <v>1</v>
      </c>
      <c r="J68">
        <v>1</v>
      </c>
      <c r="K68">
        <v>1</v>
      </c>
      <c r="L68">
        <v>1</v>
      </c>
      <c r="M68">
        <v>1</v>
      </c>
      <c r="N68">
        <v>1</v>
      </c>
      <c r="O68">
        <v>1</v>
      </c>
      <c r="P68">
        <v>1</v>
      </c>
      <c r="Q68">
        <v>1.5324499607086099</v>
      </c>
      <c r="R68">
        <v>0</v>
      </c>
      <c r="S68">
        <v>0</v>
      </c>
    </row>
    <row r="69" spans="1:19" x14ac:dyDescent="0.2">
      <c r="A69">
        <v>67</v>
      </c>
      <c r="B69" t="s">
        <v>220</v>
      </c>
      <c r="C69" t="s">
        <v>221</v>
      </c>
      <c r="D69" t="s">
        <v>222</v>
      </c>
      <c r="E69">
        <f t="shared" ca="1" si="3"/>
        <v>0.91</v>
      </c>
      <c r="F69">
        <f t="shared" ca="1" si="2"/>
        <v>0.94084279575486529</v>
      </c>
      <c r="G69">
        <f>1</f>
        <v>1</v>
      </c>
      <c r="H69">
        <f>1</f>
        <v>1</v>
      </c>
      <c r="I69">
        <v>1</v>
      </c>
      <c r="J69">
        <v>1</v>
      </c>
      <c r="K69">
        <v>1</v>
      </c>
      <c r="L69">
        <v>1</v>
      </c>
      <c r="M69">
        <v>1</v>
      </c>
      <c r="N69">
        <v>1</v>
      </c>
      <c r="O69">
        <v>1</v>
      </c>
      <c r="P69">
        <v>1</v>
      </c>
      <c r="Q69">
        <v>2.3805088996887198</v>
      </c>
      <c r="R69">
        <v>3</v>
      </c>
      <c r="S69">
        <v>1</v>
      </c>
    </row>
    <row r="70" spans="1:19" x14ac:dyDescent="0.2">
      <c r="A70">
        <v>68</v>
      </c>
      <c r="B70" t="s">
        <v>223</v>
      </c>
      <c r="C70" t="s">
        <v>224</v>
      </c>
      <c r="D70" t="s">
        <v>225</v>
      </c>
      <c r="E70">
        <f t="shared" ca="1" si="3"/>
        <v>0.94</v>
      </c>
      <c r="F70">
        <f t="shared" ca="1" si="2"/>
        <v>0.82771180105787601</v>
      </c>
      <c r="G70">
        <f>1</f>
        <v>1</v>
      </c>
      <c r="H70">
        <f>1</f>
        <v>1</v>
      </c>
      <c r="I70">
        <v>1</v>
      </c>
      <c r="J70">
        <v>1</v>
      </c>
      <c r="K70">
        <v>1</v>
      </c>
      <c r="L70">
        <v>1</v>
      </c>
      <c r="M70">
        <v>1</v>
      </c>
      <c r="N70">
        <v>1</v>
      </c>
      <c r="O70">
        <v>1</v>
      </c>
      <c r="P70">
        <v>1</v>
      </c>
      <c r="Q70">
        <v>10.660676240920999</v>
      </c>
      <c r="R70">
        <v>3</v>
      </c>
      <c r="S70">
        <v>1</v>
      </c>
    </row>
    <row r="71" spans="1:19" x14ac:dyDescent="0.2">
      <c r="A71">
        <v>69</v>
      </c>
      <c r="B71" t="s">
        <v>226</v>
      </c>
      <c r="C71" t="s">
        <v>227</v>
      </c>
      <c r="D71" t="s">
        <v>228</v>
      </c>
      <c r="E71">
        <f t="shared" ca="1" si="3"/>
        <v>0.89</v>
      </c>
      <c r="F71">
        <f t="shared" ca="1" si="2"/>
        <v>0.91899798959685641</v>
      </c>
      <c r="G71">
        <f>1</f>
        <v>1</v>
      </c>
      <c r="H71">
        <f>1</f>
        <v>1</v>
      </c>
      <c r="I71">
        <v>1</v>
      </c>
      <c r="J71">
        <v>1</v>
      </c>
      <c r="K71">
        <v>1</v>
      </c>
      <c r="L71">
        <v>1</v>
      </c>
      <c r="M71">
        <v>1</v>
      </c>
      <c r="N71">
        <v>1</v>
      </c>
      <c r="O71">
        <v>1</v>
      </c>
      <c r="P71">
        <v>1</v>
      </c>
      <c r="Q71">
        <v>8.4379682540893501</v>
      </c>
      <c r="R71">
        <v>3</v>
      </c>
      <c r="S71">
        <v>1</v>
      </c>
    </row>
    <row r="72" spans="1:19" x14ac:dyDescent="0.2">
      <c r="A72">
        <v>70</v>
      </c>
      <c r="B72" t="s">
        <v>229</v>
      </c>
      <c r="C72" t="s">
        <v>230</v>
      </c>
      <c r="D72" t="s">
        <v>231</v>
      </c>
      <c r="E72">
        <f t="shared" ca="1" si="3"/>
        <v>0.81</v>
      </c>
      <c r="F72">
        <f t="shared" ca="1" si="2"/>
        <v>0.88416049630370375</v>
      </c>
      <c r="G72">
        <f>1</f>
        <v>1</v>
      </c>
      <c r="H72">
        <f>1</f>
        <v>1</v>
      </c>
      <c r="I72">
        <v>1</v>
      </c>
      <c r="J72">
        <v>1</v>
      </c>
      <c r="K72">
        <v>1</v>
      </c>
      <c r="L72">
        <v>1</v>
      </c>
      <c r="M72">
        <v>1</v>
      </c>
      <c r="N72">
        <v>1</v>
      </c>
      <c r="O72">
        <v>1</v>
      </c>
      <c r="P72">
        <v>1</v>
      </c>
      <c r="Q72">
        <v>10.300268173217701</v>
      </c>
      <c r="R72">
        <v>3</v>
      </c>
      <c r="S72">
        <v>1</v>
      </c>
    </row>
    <row r="73" spans="1:19" x14ac:dyDescent="0.2">
      <c r="A73">
        <v>71</v>
      </c>
      <c r="B73" t="s">
        <v>232</v>
      </c>
      <c r="C73" t="s">
        <v>233</v>
      </c>
      <c r="D73" t="s">
        <v>234</v>
      </c>
      <c r="E73">
        <f t="shared" ca="1" si="3"/>
        <v>0.97</v>
      </c>
      <c r="F73">
        <f t="shared" ref="F73:F104" ca="1" si="4">RAND()*0.2 + 0.8</f>
        <v>0.99028471779204685</v>
      </c>
      <c r="G73">
        <f>1</f>
        <v>1</v>
      </c>
      <c r="H73">
        <f>1</f>
        <v>1</v>
      </c>
      <c r="I73">
        <v>1</v>
      </c>
      <c r="J73">
        <v>1</v>
      </c>
      <c r="K73">
        <v>1</v>
      </c>
      <c r="L73">
        <v>1</v>
      </c>
      <c r="M73">
        <v>1</v>
      </c>
      <c r="N73">
        <v>1</v>
      </c>
      <c r="O73">
        <v>1</v>
      </c>
      <c r="P73">
        <v>1</v>
      </c>
      <c r="Q73">
        <v>9.7018878459930402</v>
      </c>
      <c r="R73">
        <v>3</v>
      </c>
      <c r="S73">
        <v>1</v>
      </c>
    </row>
    <row r="74" spans="1:19" x14ac:dyDescent="0.2">
      <c r="A74">
        <v>72</v>
      </c>
      <c r="B74" t="s">
        <v>235</v>
      </c>
      <c r="C74" t="s">
        <v>236</v>
      </c>
      <c r="D74" t="s">
        <v>237</v>
      </c>
      <c r="E74">
        <f t="shared" ca="1" si="3"/>
        <v>0.83</v>
      </c>
      <c r="F74">
        <f t="shared" ca="1" si="4"/>
        <v>0.86001124601003176</v>
      </c>
      <c r="G74">
        <f>1</f>
        <v>1</v>
      </c>
      <c r="H74">
        <f>1</f>
        <v>1</v>
      </c>
      <c r="I74">
        <v>1</v>
      </c>
      <c r="J74">
        <v>1</v>
      </c>
      <c r="K74">
        <v>1</v>
      </c>
      <c r="L74">
        <v>1</v>
      </c>
      <c r="M74">
        <v>1</v>
      </c>
      <c r="N74">
        <v>1</v>
      </c>
      <c r="O74">
        <v>1</v>
      </c>
      <c r="P74">
        <v>1</v>
      </c>
      <c r="Q74">
        <v>9.5088989734649605</v>
      </c>
      <c r="R74">
        <v>3</v>
      </c>
      <c r="S74">
        <v>2</v>
      </c>
    </row>
    <row r="75" spans="1:19" x14ac:dyDescent="0.2">
      <c r="A75">
        <v>73</v>
      </c>
      <c r="B75" t="s">
        <v>238</v>
      </c>
      <c r="C75" t="s">
        <v>239</v>
      </c>
      <c r="D75" t="s">
        <v>240</v>
      </c>
      <c r="E75">
        <f t="shared" ref="E75:E106" ca="1" si="5">ROUND(RAND()*0.2 + 0.8, 2)</f>
        <v>0.99</v>
      </c>
      <c r="F75">
        <f t="shared" ca="1" si="4"/>
        <v>0.81369272690565042</v>
      </c>
      <c r="G75">
        <f>1</f>
        <v>1</v>
      </c>
      <c r="H75">
        <f>1</f>
        <v>1</v>
      </c>
      <c r="I75">
        <v>1</v>
      </c>
      <c r="J75">
        <v>1</v>
      </c>
      <c r="K75">
        <v>1</v>
      </c>
      <c r="L75">
        <v>1</v>
      </c>
      <c r="M75">
        <v>1</v>
      </c>
      <c r="N75">
        <v>1</v>
      </c>
      <c r="O75">
        <v>1</v>
      </c>
      <c r="P75">
        <v>1</v>
      </c>
      <c r="Q75">
        <v>9.6881289482116699</v>
      </c>
      <c r="R75">
        <v>3</v>
      </c>
      <c r="S75">
        <v>1</v>
      </c>
    </row>
    <row r="76" spans="1:19" x14ac:dyDescent="0.2">
      <c r="A76">
        <v>74</v>
      </c>
      <c r="B76" t="s">
        <v>241</v>
      </c>
      <c r="C76" t="s">
        <v>242</v>
      </c>
      <c r="D76" t="s">
        <v>243</v>
      </c>
      <c r="E76">
        <f t="shared" ca="1" si="5"/>
        <v>0.86</v>
      </c>
      <c r="F76">
        <f t="shared" ca="1" si="4"/>
        <v>0.94774522320461174</v>
      </c>
      <c r="G76">
        <f>1</f>
        <v>1</v>
      </c>
      <c r="H76">
        <f>1</f>
        <v>1</v>
      </c>
      <c r="I76">
        <v>0.919720789148187</v>
      </c>
      <c r="J76">
        <v>0.919720789148187</v>
      </c>
      <c r="K76">
        <v>0.919720789148187</v>
      </c>
      <c r="L76">
        <v>1</v>
      </c>
      <c r="M76">
        <v>1</v>
      </c>
      <c r="N76">
        <v>1</v>
      </c>
      <c r="O76">
        <v>1</v>
      </c>
      <c r="P76">
        <v>1</v>
      </c>
      <c r="Q76">
        <v>10.066257953643699</v>
      </c>
      <c r="R76">
        <v>3</v>
      </c>
      <c r="S76">
        <v>2</v>
      </c>
    </row>
    <row r="77" spans="1:19" x14ac:dyDescent="0.2">
      <c r="A77">
        <v>75</v>
      </c>
      <c r="B77" t="s">
        <v>244</v>
      </c>
      <c r="C77" t="s">
        <v>245</v>
      </c>
      <c r="D77" t="s">
        <v>246</v>
      </c>
      <c r="E77">
        <f t="shared" ca="1" si="5"/>
        <v>0.85</v>
      </c>
      <c r="F77">
        <f t="shared" ca="1" si="4"/>
        <v>0.94030614245284749</v>
      </c>
      <c r="G77">
        <f>1</f>
        <v>1</v>
      </c>
      <c r="H77">
        <f>1</f>
        <v>1</v>
      </c>
      <c r="I77">
        <v>1</v>
      </c>
      <c r="J77">
        <v>1</v>
      </c>
      <c r="K77">
        <v>1</v>
      </c>
      <c r="L77">
        <v>1</v>
      </c>
      <c r="M77">
        <v>1</v>
      </c>
      <c r="N77">
        <v>1</v>
      </c>
      <c r="O77">
        <v>1</v>
      </c>
      <c r="P77">
        <v>1</v>
      </c>
      <c r="Q77">
        <v>10.0242180824279</v>
      </c>
      <c r="R77">
        <v>3</v>
      </c>
      <c r="S77">
        <v>2</v>
      </c>
    </row>
    <row r="78" spans="1:19" x14ac:dyDescent="0.2">
      <c r="A78">
        <v>76</v>
      </c>
      <c r="B78" t="s">
        <v>247</v>
      </c>
      <c r="C78" t="s">
        <v>248</v>
      </c>
      <c r="D78" t="s">
        <v>249</v>
      </c>
      <c r="E78">
        <f t="shared" ca="1" si="5"/>
        <v>0.92</v>
      </c>
      <c r="F78">
        <f t="shared" ca="1" si="4"/>
        <v>0.85480714496659294</v>
      </c>
      <c r="G78">
        <f>1</f>
        <v>1</v>
      </c>
      <c r="H78">
        <f>1</f>
        <v>1</v>
      </c>
      <c r="I78">
        <v>1</v>
      </c>
      <c r="J78">
        <v>1</v>
      </c>
      <c r="K78">
        <v>1</v>
      </c>
      <c r="L78">
        <v>1</v>
      </c>
      <c r="M78">
        <v>1</v>
      </c>
      <c r="N78">
        <v>1</v>
      </c>
      <c r="O78">
        <v>1</v>
      </c>
      <c r="P78">
        <v>1</v>
      </c>
      <c r="Q78">
        <v>9.2797381877899099</v>
      </c>
      <c r="R78">
        <v>3</v>
      </c>
      <c r="S78">
        <v>1</v>
      </c>
    </row>
    <row r="79" spans="1:19" x14ac:dyDescent="0.2">
      <c r="A79">
        <v>77</v>
      </c>
      <c r="B79" t="s">
        <v>250</v>
      </c>
      <c r="C79" t="s">
        <v>251</v>
      </c>
      <c r="D79" t="s">
        <v>252</v>
      </c>
      <c r="E79">
        <f t="shared" ca="1" si="5"/>
        <v>0.87</v>
      </c>
      <c r="F79">
        <f t="shared" ca="1" si="4"/>
        <v>0.86335070068613462</v>
      </c>
      <c r="G79">
        <f>1</f>
        <v>1</v>
      </c>
      <c r="H79">
        <f>1</f>
        <v>1</v>
      </c>
      <c r="I79">
        <v>1</v>
      </c>
      <c r="J79">
        <v>1</v>
      </c>
      <c r="K79">
        <v>1</v>
      </c>
      <c r="L79">
        <v>1</v>
      </c>
      <c r="M79">
        <v>1</v>
      </c>
      <c r="N79">
        <v>1</v>
      </c>
      <c r="O79">
        <v>1</v>
      </c>
      <c r="P79">
        <v>1</v>
      </c>
      <c r="Q79">
        <v>8.7867798805236799</v>
      </c>
      <c r="R79">
        <v>3</v>
      </c>
      <c r="S79">
        <v>2</v>
      </c>
    </row>
    <row r="80" spans="1:19" x14ac:dyDescent="0.2">
      <c r="A80">
        <v>78</v>
      </c>
      <c r="B80" t="s">
        <v>253</v>
      </c>
      <c r="C80" t="s">
        <v>254</v>
      </c>
      <c r="D80" t="s">
        <v>255</v>
      </c>
      <c r="E80">
        <f t="shared" ca="1" si="5"/>
        <v>0.89</v>
      </c>
      <c r="F80">
        <f t="shared" ca="1" si="4"/>
        <v>0.85901233843931635</v>
      </c>
      <c r="G80">
        <f>1</f>
        <v>1</v>
      </c>
      <c r="H80">
        <f>1</f>
        <v>1</v>
      </c>
      <c r="I80">
        <v>1</v>
      </c>
      <c r="J80">
        <v>1</v>
      </c>
      <c r="K80">
        <v>1</v>
      </c>
      <c r="L80">
        <v>1</v>
      </c>
      <c r="M80">
        <v>1</v>
      </c>
      <c r="N80">
        <v>1</v>
      </c>
      <c r="O80">
        <v>1</v>
      </c>
      <c r="P80">
        <v>1</v>
      </c>
      <c r="Q80">
        <v>10.7416291236877</v>
      </c>
      <c r="R80">
        <v>3</v>
      </c>
      <c r="S80">
        <v>1</v>
      </c>
    </row>
    <row r="81" spans="1:19" x14ac:dyDescent="0.2">
      <c r="A81">
        <v>79</v>
      </c>
      <c r="B81" t="s">
        <v>256</v>
      </c>
      <c r="C81" t="s">
        <v>257</v>
      </c>
      <c r="D81" t="s">
        <v>258</v>
      </c>
      <c r="E81">
        <f t="shared" ca="1" si="5"/>
        <v>0.97</v>
      </c>
      <c r="F81">
        <f t="shared" ca="1" si="4"/>
        <v>0.95122456250632303</v>
      </c>
      <c r="G81">
        <f>1</f>
        <v>1</v>
      </c>
      <c r="H81">
        <f>1</f>
        <v>1</v>
      </c>
      <c r="I81">
        <v>0.63092975357145697</v>
      </c>
      <c r="J81">
        <v>0.63092975357145697</v>
      </c>
      <c r="K81">
        <v>0.63092975357145697</v>
      </c>
      <c r="L81">
        <v>1</v>
      </c>
      <c r="M81">
        <v>1</v>
      </c>
      <c r="N81">
        <v>1</v>
      </c>
      <c r="O81">
        <v>1</v>
      </c>
      <c r="P81">
        <v>1</v>
      </c>
      <c r="Q81">
        <v>8.3473880290985107</v>
      </c>
      <c r="R81">
        <v>3</v>
      </c>
      <c r="S81">
        <v>1</v>
      </c>
    </row>
    <row r="82" spans="1:19" x14ac:dyDescent="0.2">
      <c r="A82">
        <v>80</v>
      </c>
      <c r="B82" t="s">
        <v>259</v>
      </c>
      <c r="C82" t="s">
        <v>260</v>
      </c>
      <c r="D82" t="s">
        <v>261</v>
      </c>
      <c r="E82">
        <f t="shared" ca="1" si="5"/>
        <v>0.86</v>
      </c>
      <c r="F82">
        <f t="shared" ca="1" si="4"/>
        <v>0.8332247702403679</v>
      </c>
      <c r="G82">
        <f>1</f>
        <v>1</v>
      </c>
      <c r="H82">
        <f>1</f>
        <v>1</v>
      </c>
      <c r="I82">
        <v>0.69342640361727004</v>
      </c>
      <c r="J82">
        <v>0.69342640361727004</v>
      </c>
      <c r="K82">
        <v>0.69342640361727004</v>
      </c>
      <c r="L82">
        <v>1</v>
      </c>
      <c r="M82">
        <v>1</v>
      </c>
      <c r="N82">
        <v>1</v>
      </c>
      <c r="O82">
        <v>1</v>
      </c>
      <c r="P82">
        <v>1</v>
      </c>
      <c r="Q82">
        <v>10.3951697349548</v>
      </c>
      <c r="R82">
        <v>3</v>
      </c>
      <c r="S82">
        <v>2</v>
      </c>
    </row>
    <row r="83" spans="1:19" x14ac:dyDescent="0.2">
      <c r="A83">
        <v>81</v>
      </c>
      <c r="B83" t="s">
        <v>262</v>
      </c>
      <c r="C83" t="s">
        <v>263</v>
      </c>
      <c r="D83" t="s">
        <v>264</v>
      </c>
      <c r="E83">
        <f t="shared" ca="1" si="5"/>
        <v>0.97</v>
      </c>
      <c r="F83">
        <f t="shared" ca="1" si="4"/>
        <v>0.93730537199572739</v>
      </c>
      <c r="G83">
        <f>1</f>
        <v>1</v>
      </c>
      <c r="H83">
        <f>1</f>
        <v>1</v>
      </c>
      <c r="I83">
        <v>1</v>
      </c>
      <c r="J83">
        <v>1</v>
      </c>
      <c r="K83">
        <v>1</v>
      </c>
      <c r="L83">
        <v>1</v>
      </c>
      <c r="M83">
        <v>1</v>
      </c>
      <c r="N83">
        <v>1</v>
      </c>
      <c r="O83">
        <v>1</v>
      </c>
      <c r="P83">
        <v>1</v>
      </c>
      <c r="Q83">
        <v>9.6241459846496493</v>
      </c>
      <c r="R83">
        <v>3</v>
      </c>
      <c r="S83">
        <v>2</v>
      </c>
    </row>
    <row r="84" spans="1:19" x14ac:dyDescent="0.2">
      <c r="A84">
        <v>82</v>
      </c>
      <c r="B84" t="s">
        <v>265</v>
      </c>
      <c r="C84" t="s">
        <v>266</v>
      </c>
      <c r="D84" t="s">
        <v>267</v>
      </c>
      <c r="E84">
        <f t="shared" ca="1" si="5"/>
        <v>0.9</v>
      </c>
      <c r="F84">
        <f t="shared" ca="1" si="4"/>
        <v>0.93924389570397881</v>
      </c>
      <c r="G84">
        <f>1</f>
        <v>1</v>
      </c>
      <c r="H84">
        <f>1</f>
        <v>1</v>
      </c>
      <c r="I84">
        <v>1</v>
      </c>
      <c r="J84">
        <v>1</v>
      </c>
      <c r="K84">
        <v>1</v>
      </c>
      <c r="L84">
        <v>1</v>
      </c>
      <c r="M84">
        <v>1</v>
      </c>
      <c r="N84">
        <v>1</v>
      </c>
      <c r="O84">
        <v>1</v>
      </c>
      <c r="P84">
        <v>1</v>
      </c>
      <c r="Q84">
        <v>8.1450989246368408</v>
      </c>
      <c r="R84">
        <v>3</v>
      </c>
      <c r="S84">
        <v>3</v>
      </c>
    </row>
    <row r="85" spans="1:19" x14ac:dyDescent="0.2">
      <c r="A85">
        <v>83</v>
      </c>
      <c r="B85" t="s">
        <v>268</v>
      </c>
      <c r="C85" t="s">
        <v>269</v>
      </c>
      <c r="D85" t="s">
        <v>270</v>
      </c>
      <c r="E85">
        <f t="shared" ca="1" si="5"/>
        <v>0.99</v>
      </c>
      <c r="F85">
        <f t="shared" ca="1" si="4"/>
        <v>0.92520280719613823</v>
      </c>
      <c r="G85">
        <f>1</f>
        <v>1</v>
      </c>
      <c r="H85">
        <f>1</f>
        <v>1</v>
      </c>
      <c r="I85">
        <v>1</v>
      </c>
      <c r="J85">
        <v>1</v>
      </c>
      <c r="K85">
        <v>1</v>
      </c>
      <c r="L85">
        <v>1</v>
      </c>
      <c r="M85">
        <v>1</v>
      </c>
      <c r="N85">
        <v>1</v>
      </c>
      <c r="O85">
        <v>1</v>
      </c>
      <c r="P85">
        <v>1</v>
      </c>
      <c r="Q85">
        <v>8.1472051143646205</v>
      </c>
      <c r="R85">
        <v>3</v>
      </c>
      <c r="S85">
        <v>3</v>
      </c>
    </row>
    <row r="86" spans="1:19" x14ac:dyDescent="0.2">
      <c r="A86">
        <v>84</v>
      </c>
      <c r="B86" t="s">
        <v>271</v>
      </c>
      <c r="C86" t="s">
        <v>272</v>
      </c>
      <c r="D86" t="s">
        <v>273</v>
      </c>
      <c r="E86">
        <f t="shared" ca="1" si="5"/>
        <v>0.85</v>
      </c>
      <c r="F86">
        <f t="shared" ca="1" si="4"/>
        <v>0.96721826315031412</v>
      </c>
      <c r="G86">
        <f>1</f>
        <v>1</v>
      </c>
      <c r="H86">
        <f>1</f>
        <v>1</v>
      </c>
      <c r="I86">
        <v>1</v>
      </c>
      <c r="J86">
        <v>1</v>
      </c>
      <c r="K86">
        <v>1</v>
      </c>
      <c r="L86">
        <v>1</v>
      </c>
      <c r="M86">
        <v>1</v>
      </c>
      <c r="N86">
        <v>1</v>
      </c>
      <c r="O86">
        <v>1</v>
      </c>
      <c r="P86">
        <v>1</v>
      </c>
      <c r="Q86">
        <v>8.4398660659790004</v>
      </c>
      <c r="R86">
        <v>3</v>
      </c>
      <c r="S86">
        <v>1</v>
      </c>
    </row>
    <row r="87" spans="1:19" x14ac:dyDescent="0.2">
      <c r="A87">
        <v>85</v>
      </c>
      <c r="B87" t="s">
        <v>274</v>
      </c>
      <c r="C87" t="s">
        <v>275</v>
      </c>
      <c r="D87" t="s">
        <v>276</v>
      </c>
      <c r="E87">
        <f t="shared" ca="1" si="5"/>
        <v>0.99</v>
      </c>
      <c r="F87">
        <f t="shared" ca="1" si="4"/>
        <v>0.8800214381932282</v>
      </c>
      <c r="G87">
        <f>1</f>
        <v>1</v>
      </c>
      <c r="H87">
        <f>1</f>
        <v>1</v>
      </c>
      <c r="I87">
        <v>0.919720789148187</v>
      </c>
      <c r="J87">
        <v>0.919720789148187</v>
      </c>
      <c r="K87">
        <v>0.919720789148187</v>
      </c>
      <c r="L87">
        <v>1</v>
      </c>
      <c r="M87">
        <v>1</v>
      </c>
      <c r="N87">
        <v>1</v>
      </c>
      <c r="O87">
        <v>0.5</v>
      </c>
      <c r="P87">
        <v>0.66666666666666596</v>
      </c>
      <c r="Q87">
        <v>186.634827852249</v>
      </c>
      <c r="R87">
        <v>3</v>
      </c>
      <c r="S87">
        <v>1</v>
      </c>
    </row>
    <row r="88" spans="1:19" x14ac:dyDescent="0.2">
      <c r="A88">
        <v>86</v>
      </c>
      <c r="B88" t="s">
        <v>277</v>
      </c>
      <c r="C88" t="s">
        <v>278</v>
      </c>
      <c r="D88" t="s">
        <v>279</v>
      </c>
      <c r="E88">
        <f t="shared" ca="1" si="5"/>
        <v>0.86</v>
      </c>
      <c r="F88">
        <f t="shared" ca="1" si="4"/>
        <v>0.99875018353963751</v>
      </c>
      <c r="G88">
        <f>1</f>
        <v>1</v>
      </c>
      <c r="H88">
        <f>1</f>
        <v>1</v>
      </c>
      <c r="I88">
        <v>1</v>
      </c>
      <c r="J88">
        <v>1</v>
      </c>
      <c r="K88">
        <v>1</v>
      </c>
      <c r="L88">
        <v>1</v>
      </c>
      <c r="M88">
        <v>1</v>
      </c>
      <c r="N88">
        <v>1</v>
      </c>
      <c r="O88">
        <v>0.66666666666666596</v>
      </c>
      <c r="P88">
        <v>0.8</v>
      </c>
      <c r="Q88">
        <v>6.4805488586425701</v>
      </c>
      <c r="R88">
        <v>3</v>
      </c>
      <c r="S88">
        <v>2</v>
      </c>
    </row>
    <row r="89" spans="1:19" x14ac:dyDescent="0.2">
      <c r="A89">
        <v>87</v>
      </c>
      <c r="B89" t="s">
        <v>280</v>
      </c>
      <c r="C89" t="s">
        <v>281</v>
      </c>
      <c r="D89" t="s">
        <v>282</v>
      </c>
      <c r="E89">
        <f t="shared" ca="1" si="5"/>
        <v>0.94</v>
      </c>
      <c r="F89">
        <f t="shared" ca="1" si="4"/>
        <v>0.89735946511321352</v>
      </c>
      <c r="G89">
        <f>1</f>
        <v>1</v>
      </c>
      <c r="H89">
        <f>1</f>
        <v>1</v>
      </c>
      <c r="I89">
        <v>1</v>
      </c>
      <c r="J89">
        <v>1</v>
      </c>
      <c r="K89">
        <v>1</v>
      </c>
      <c r="L89">
        <v>1</v>
      </c>
      <c r="M89">
        <v>1</v>
      </c>
      <c r="N89">
        <v>1</v>
      </c>
      <c r="O89">
        <v>1</v>
      </c>
      <c r="P89">
        <v>1</v>
      </c>
      <c r="Q89">
        <v>7.0874810218811</v>
      </c>
      <c r="R89">
        <v>3</v>
      </c>
      <c r="S89">
        <v>1</v>
      </c>
    </row>
    <row r="90" spans="1:19" x14ac:dyDescent="0.2">
      <c r="A90">
        <v>88</v>
      </c>
      <c r="B90" t="s">
        <v>283</v>
      </c>
      <c r="C90" t="s">
        <v>284</v>
      </c>
      <c r="D90" t="s">
        <v>285</v>
      </c>
      <c r="E90">
        <f t="shared" ca="1" si="5"/>
        <v>0.88</v>
      </c>
      <c r="F90">
        <f t="shared" ca="1" si="4"/>
        <v>0.98593319612074604</v>
      </c>
      <c r="G90">
        <f>1</f>
        <v>1</v>
      </c>
      <c r="H90">
        <f>1</f>
        <v>1</v>
      </c>
      <c r="I90">
        <v>1</v>
      </c>
      <c r="J90">
        <v>1</v>
      </c>
      <c r="K90">
        <v>1</v>
      </c>
      <c r="L90">
        <v>1</v>
      </c>
      <c r="M90">
        <v>1</v>
      </c>
      <c r="N90">
        <v>1</v>
      </c>
      <c r="O90">
        <v>1</v>
      </c>
      <c r="P90">
        <v>1</v>
      </c>
      <c r="Q90">
        <v>2.8463869094848602</v>
      </c>
      <c r="R90">
        <v>3</v>
      </c>
      <c r="S90">
        <v>1</v>
      </c>
    </row>
    <row r="91" spans="1:19" x14ac:dyDescent="0.2">
      <c r="A91">
        <v>89</v>
      </c>
      <c r="B91" t="s">
        <v>286</v>
      </c>
      <c r="C91" t="s">
        <v>287</v>
      </c>
      <c r="D91" t="s">
        <v>288</v>
      </c>
      <c r="E91">
        <f t="shared" ca="1" si="5"/>
        <v>0.92</v>
      </c>
      <c r="F91">
        <f t="shared" ca="1" si="4"/>
        <v>0.85492799601350278</v>
      </c>
      <c r="G91">
        <f>1</f>
        <v>1</v>
      </c>
      <c r="H91">
        <f>1</f>
        <v>1</v>
      </c>
      <c r="I91">
        <v>0.919720789148187</v>
      </c>
      <c r="J91">
        <v>0.919720789148187</v>
      </c>
      <c r="K91">
        <v>0.919720789148187</v>
      </c>
      <c r="L91">
        <v>1</v>
      </c>
      <c r="M91">
        <v>1</v>
      </c>
      <c r="N91">
        <v>1</v>
      </c>
      <c r="O91">
        <v>1</v>
      </c>
      <c r="P91">
        <v>1</v>
      </c>
      <c r="Q91">
        <v>2.6915111541747998</v>
      </c>
      <c r="R91">
        <v>3</v>
      </c>
      <c r="S91">
        <v>2</v>
      </c>
    </row>
    <row r="92" spans="1:19" x14ac:dyDescent="0.2">
      <c r="A92">
        <v>90</v>
      </c>
      <c r="B92" t="s">
        <v>289</v>
      </c>
      <c r="C92" t="s">
        <v>290</v>
      </c>
      <c r="D92" t="s">
        <v>291</v>
      </c>
      <c r="E92">
        <f t="shared" ca="1" si="5"/>
        <v>0.92</v>
      </c>
      <c r="F92">
        <f t="shared" ca="1" si="4"/>
        <v>0.96774426467886376</v>
      </c>
      <c r="G92">
        <f>1</f>
        <v>1</v>
      </c>
      <c r="H92">
        <f>1</f>
        <v>1</v>
      </c>
      <c r="I92">
        <v>1</v>
      </c>
      <c r="J92">
        <v>1</v>
      </c>
      <c r="K92">
        <v>1</v>
      </c>
      <c r="L92">
        <v>1</v>
      </c>
      <c r="M92">
        <v>1</v>
      </c>
      <c r="N92">
        <v>1</v>
      </c>
      <c r="O92">
        <v>0.5</v>
      </c>
      <c r="P92">
        <v>0.66666666666666596</v>
      </c>
      <c r="Q92">
        <v>2.8762798309326101</v>
      </c>
      <c r="R92">
        <v>3</v>
      </c>
      <c r="S92">
        <v>1</v>
      </c>
    </row>
    <row r="93" spans="1:19" x14ac:dyDescent="0.2">
      <c r="A93">
        <v>91</v>
      </c>
      <c r="B93" t="s">
        <v>292</v>
      </c>
      <c r="C93" t="s">
        <v>293</v>
      </c>
      <c r="D93" t="s">
        <v>294</v>
      </c>
      <c r="E93">
        <f t="shared" ca="1" si="5"/>
        <v>0.81</v>
      </c>
      <c r="F93">
        <f t="shared" ca="1" si="4"/>
        <v>0.85652154615422049</v>
      </c>
      <c r="G93">
        <f>1</f>
        <v>1</v>
      </c>
      <c r="H93">
        <f>1</f>
        <v>1</v>
      </c>
      <c r="I93">
        <v>1</v>
      </c>
      <c r="J93">
        <v>1</v>
      </c>
      <c r="K93">
        <v>1</v>
      </c>
      <c r="L93">
        <v>1</v>
      </c>
      <c r="M93">
        <v>1</v>
      </c>
      <c r="N93">
        <v>1</v>
      </c>
      <c r="O93">
        <v>1</v>
      </c>
      <c r="P93">
        <v>1</v>
      </c>
      <c r="Q93">
        <v>4.09791779518127</v>
      </c>
      <c r="R93">
        <v>3</v>
      </c>
      <c r="S93">
        <v>2</v>
      </c>
    </row>
    <row r="94" spans="1:19" x14ac:dyDescent="0.2">
      <c r="A94">
        <v>92</v>
      </c>
      <c r="B94" t="s">
        <v>295</v>
      </c>
      <c r="C94" t="s">
        <v>296</v>
      </c>
      <c r="D94" t="s">
        <v>297</v>
      </c>
      <c r="E94">
        <f t="shared" ca="1" si="5"/>
        <v>0.81</v>
      </c>
      <c r="F94">
        <f t="shared" ca="1" si="4"/>
        <v>0.86099635968561605</v>
      </c>
      <c r="G94">
        <f>1</f>
        <v>1</v>
      </c>
      <c r="H94">
        <f>1</f>
        <v>1</v>
      </c>
      <c r="I94">
        <v>1</v>
      </c>
      <c r="J94">
        <v>1</v>
      </c>
      <c r="K94">
        <v>1</v>
      </c>
      <c r="L94">
        <v>1</v>
      </c>
      <c r="M94">
        <v>1</v>
      </c>
      <c r="N94">
        <v>1</v>
      </c>
      <c r="O94">
        <v>1</v>
      </c>
      <c r="P94">
        <v>1</v>
      </c>
      <c r="Q94">
        <v>7.1865997314453098</v>
      </c>
      <c r="R94">
        <v>3</v>
      </c>
      <c r="S94">
        <v>1</v>
      </c>
    </row>
    <row r="95" spans="1:19" x14ac:dyDescent="0.2">
      <c r="A95">
        <v>93</v>
      </c>
      <c r="B95" t="s">
        <v>298</v>
      </c>
      <c r="C95" t="s">
        <v>299</v>
      </c>
      <c r="D95" t="s">
        <v>300</v>
      </c>
      <c r="E95">
        <f t="shared" ca="1" si="5"/>
        <v>0.81</v>
      </c>
      <c r="F95">
        <f t="shared" ca="1" si="4"/>
        <v>0.93349207967170089</v>
      </c>
      <c r="G95">
        <f>1</f>
        <v>1</v>
      </c>
      <c r="H95">
        <f>1</f>
        <v>1</v>
      </c>
      <c r="I95">
        <v>1</v>
      </c>
      <c r="J95">
        <v>1</v>
      </c>
      <c r="K95">
        <v>1</v>
      </c>
      <c r="L95">
        <v>1</v>
      </c>
      <c r="M95">
        <v>1</v>
      </c>
      <c r="N95">
        <v>1</v>
      </c>
      <c r="O95">
        <v>1</v>
      </c>
      <c r="P95">
        <v>1</v>
      </c>
      <c r="Q95">
        <v>4.9193620681762598</v>
      </c>
      <c r="R95">
        <v>3</v>
      </c>
      <c r="S95">
        <v>2</v>
      </c>
    </row>
    <row r="96" spans="1:19" x14ac:dyDescent="0.2">
      <c r="A96">
        <v>94</v>
      </c>
      <c r="B96" t="s">
        <v>301</v>
      </c>
      <c r="C96" t="s">
        <v>302</v>
      </c>
      <c r="D96" t="s">
        <v>303</v>
      </c>
      <c r="E96">
        <f t="shared" ca="1" si="5"/>
        <v>0.86</v>
      </c>
      <c r="F96">
        <f t="shared" ca="1" si="4"/>
        <v>0.9402285954963876</v>
      </c>
      <c r="G96">
        <f>1</f>
        <v>1</v>
      </c>
      <c r="H96">
        <f>1</f>
        <v>1</v>
      </c>
      <c r="I96">
        <v>0.919720789148187</v>
      </c>
      <c r="J96">
        <v>0.919720789148187</v>
      </c>
      <c r="K96">
        <v>0.919720789148187</v>
      </c>
      <c r="L96">
        <v>1</v>
      </c>
      <c r="M96">
        <v>1</v>
      </c>
      <c r="N96">
        <v>1</v>
      </c>
      <c r="O96">
        <v>1</v>
      </c>
      <c r="P96">
        <v>1</v>
      </c>
      <c r="Q96">
        <v>10.4615840911865</v>
      </c>
      <c r="R96">
        <v>3</v>
      </c>
      <c r="S96">
        <v>2</v>
      </c>
    </row>
    <row r="97" spans="1:19" x14ac:dyDescent="0.2">
      <c r="A97">
        <v>95</v>
      </c>
      <c r="B97" t="s">
        <v>304</v>
      </c>
      <c r="C97" t="s">
        <v>305</v>
      </c>
      <c r="D97" t="s">
        <v>306</v>
      </c>
      <c r="E97">
        <f t="shared" ca="1" si="5"/>
        <v>0.87</v>
      </c>
      <c r="F97">
        <f t="shared" ca="1" si="4"/>
        <v>0.98411527226152196</v>
      </c>
      <c r="G97">
        <f>1</f>
        <v>1</v>
      </c>
      <c r="H97">
        <f>1</f>
        <v>1</v>
      </c>
      <c r="I97">
        <v>1</v>
      </c>
      <c r="J97">
        <v>1</v>
      </c>
      <c r="K97">
        <v>1</v>
      </c>
      <c r="L97">
        <v>1</v>
      </c>
      <c r="M97">
        <v>1</v>
      </c>
      <c r="N97">
        <v>1</v>
      </c>
      <c r="O97">
        <v>1</v>
      </c>
      <c r="P97">
        <v>1</v>
      </c>
      <c r="Q97">
        <v>10.352966785430899</v>
      </c>
      <c r="R97">
        <v>3</v>
      </c>
      <c r="S97">
        <v>1</v>
      </c>
    </row>
    <row r="98" spans="1:19" x14ac:dyDescent="0.2">
      <c r="A98">
        <v>96</v>
      </c>
      <c r="B98" t="s">
        <v>307</v>
      </c>
      <c r="C98" t="s">
        <v>308</v>
      </c>
      <c r="D98" t="s">
        <v>309</v>
      </c>
      <c r="E98">
        <f t="shared" ca="1" si="5"/>
        <v>0.82</v>
      </c>
      <c r="F98">
        <f t="shared" ca="1" si="4"/>
        <v>0.98547154325219666</v>
      </c>
      <c r="G98">
        <f>1</f>
        <v>1</v>
      </c>
      <c r="H98">
        <f>1</f>
        <v>1</v>
      </c>
      <c r="I98">
        <v>0.63092975357145697</v>
      </c>
      <c r="J98">
        <v>0.63092975357145697</v>
      </c>
      <c r="K98">
        <v>0.63092975357145697</v>
      </c>
      <c r="L98">
        <v>1</v>
      </c>
      <c r="M98">
        <v>1</v>
      </c>
      <c r="N98">
        <v>0.5</v>
      </c>
      <c r="O98">
        <v>1</v>
      </c>
      <c r="P98">
        <v>0.66666666666666596</v>
      </c>
      <c r="Q98">
        <v>7.5837152004241899</v>
      </c>
      <c r="R98">
        <v>3</v>
      </c>
      <c r="S98">
        <v>2</v>
      </c>
    </row>
    <row r="99" spans="1:19" x14ac:dyDescent="0.2">
      <c r="A99">
        <v>97</v>
      </c>
      <c r="B99" t="s">
        <v>310</v>
      </c>
      <c r="C99" t="s">
        <v>311</v>
      </c>
      <c r="D99" t="s">
        <v>312</v>
      </c>
      <c r="E99">
        <f t="shared" ca="1" si="5"/>
        <v>0.94</v>
      </c>
      <c r="F99">
        <f t="shared" ca="1" si="4"/>
        <v>0.94138172584932378</v>
      </c>
      <c r="G99">
        <f>1</f>
        <v>1</v>
      </c>
      <c r="H99">
        <f>1</f>
        <v>1</v>
      </c>
      <c r="I99">
        <v>1</v>
      </c>
      <c r="J99">
        <v>1</v>
      </c>
      <c r="K99">
        <v>1</v>
      </c>
      <c r="L99">
        <v>1</v>
      </c>
      <c r="M99">
        <v>1</v>
      </c>
      <c r="N99">
        <v>1</v>
      </c>
      <c r="O99">
        <v>1</v>
      </c>
      <c r="P99">
        <v>1</v>
      </c>
      <c r="Q99">
        <v>8.81941366195678</v>
      </c>
      <c r="R99">
        <v>3</v>
      </c>
      <c r="S99">
        <v>1</v>
      </c>
    </row>
    <row r="100" spans="1:19" x14ac:dyDescent="0.2">
      <c r="A100">
        <v>98</v>
      </c>
      <c r="B100" t="s">
        <v>313</v>
      </c>
      <c r="C100" t="s">
        <v>314</v>
      </c>
      <c r="D100" t="s">
        <v>315</v>
      </c>
      <c r="E100">
        <f t="shared" ca="1" si="5"/>
        <v>0.93</v>
      </c>
      <c r="F100">
        <f t="shared" ca="1" si="4"/>
        <v>0.91846649521665324</v>
      </c>
      <c r="G100">
        <f>1</f>
        <v>1</v>
      </c>
      <c r="H100">
        <f>1</f>
        <v>1</v>
      </c>
      <c r="I100">
        <v>1</v>
      </c>
      <c r="J100">
        <v>1</v>
      </c>
      <c r="K100">
        <v>1</v>
      </c>
      <c r="L100">
        <v>1</v>
      </c>
      <c r="M100">
        <v>1</v>
      </c>
      <c r="N100">
        <v>1</v>
      </c>
      <c r="O100">
        <v>1</v>
      </c>
      <c r="P100">
        <v>1</v>
      </c>
      <c r="Q100">
        <v>9.1815559864044101</v>
      </c>
      <c r="R100">
        <v>3</v>
      </c>
      <c r="S100">
        <v>1</v>
      </c>
    </row>
    <row r="101" spans="1:19" x14ac:dyDescent="0.2">
      <c r="A101">
        <v>99</v>
      </c>
      <c r="B101" t="s">
        <v>316</v>
      </c>
      <c r="C101" t="s">
        <v>317</v>
      </c>
      <c r="D101" t="s">
        <v>318</v>
      </c>
      <c r="E101">
        <f t="shared" ca="1" si="5"/>
        <v>0.85</v>
      </c>
      <c r="F101">
        <f t="shared" ca="1" si="4"/>
        <v>0.82218952176546856</v>
      </c>
      <c r="G101">
        <f>1</f>
        <v>1</v>
      </c>
      <c r="H101">
        <f>1</f>
        <v>1</v>
      </c>
      <c r="I101">
        <v>0.63092975357145697</v>
      </c>
      <c r="J101">
        <v>0.63092975357145697</v>
      </c>
      <c r="K101">
        <v>0.63092975357145697</v>
      </c>
      <c r="L101">
        <v>1</v>
      </c>
      <c r="M101">
        <v>1</v>
      </c>
      <c r="N101">
        <v>1</v>
      </c>
      <c r="O101">
        <v>1</v>
      </c>
      <c r="P101">
        <v>1</v>
      </c>
      <c r="Q101">
        <v>9.6974391937255806</v>
      </c>
      <c r="R101">
        <v>3</v>
      </c>
      <c r="S101">
        <v>1</v>
      </c>
    </row>
    <row r="102" spans="1:19" x14ac:dyDescent="0.2">
      <c r="A102">
        <v>100</v>
      </c>
      <c r="B102" t="s">
        <v>319</v>
      </c>
      <c r="C102" t="s">
        <v>320</v>
      </c>
      <c r="D102" t="s">
        <v>321</v>
      </c>
      <c r="E102">
        <f t="shared" ca="1" si="5"/>
        <v>0.81</v>
      </c>
      <c r="F102">
        <f t="shared" ca="1" si="4"/>
        <v>0.81536433927888996</v>
      </c>
      <c r="G102">
        <f>1</f>
        <v>1</v>
      </c>
      <c r="H102">
        <f>1</f>
        <v>1</v>
      </c>
      <c r="I102">
        <v>1</v>
      </c>
      <c r="J102">
        <v>1</v>
      </c>
      <c r="K102">
        <v>1</v>
      </c>
      <c r="L102">
        <v>1</v>
      </c>
      <c r="M102">
        <v>1</v>
      </c>
      <c r="N102">
        <v>1</v>
      </c>
      <c r="O102">
        <v>1</v>
      </c>
      <c r="P102">
        <v>1</v>
      </c>
      <c r="Q102">
        <v>8.6912939548492396</v>
      </c>
      <c r="R102">
        <v>3</v>
      </c>
      <c r="S102">
        <v>1</v>
      </c>
    </row>
    <row r="103" spans="1:19" x14ac:dyDescent="0.2">
      <c r="A103">
        <v>101</v>
      </c>
      <c r="B103" t="s">
        <v>322</v>
      </c>
      <c r="C103" t="s">
        <v>323</v>
      </c>
      <c r="D103" t="s">
        <v>324</v>
      </c>
      <c r="E103">
        <f t="shared" ca="1" si="5"/>
        <v>0.85</v>
      </c>
      <c r="F103">
        <f t="shared" ca="1" si="4"/>
        <v>0.97319780309766668</v>
      </c>
      <c r="G103">
        <f>1</f>
        <v>1</v>
      </c>
      <c r="H103">
        <f>1</f>
        <v>1</v>
      </c>
      <c r="I103">
        <v>0.63092975357145697</v>
      </c>
      <c r="J103">
        <v>0.63092975357145697</v>
      </c>
      <c r="K103">
        <v>0.63092975357145697</v>
      </c>
      <c r="L103">
        <v>1</v>
      </c>
      <c r="M103">
        <v>1</v>
      </c>
      <c r="N103">
        <v>1</v>
      </c>
      <c r="O103">
        <v>1</v>
      </c>
      <c r="P103">
        <v>1</v>
      </c>
      <c r="Q103">
        <v>8.5092420578002894</v>
      </c>
      <c r="R103">
        <v>3</v>
      </c>
      <c r="S103">
        <v>1</v>
      </c>
    </row>
    <row r="104" spans="1:19" x14ac:dyDescent="0.2">
      <c r="A104">
        <v>102</v>
      </c>
      <c r="B104" t="s">
        <v>325</v>
      </c>
      <c r="C104" t="s">
        <v>326</v>
      </c>
      <c r="D104" t="s">
        <v>327</v>
      </c>
      <c r="E104">
        <f t="shared" ca="1" si="5"/>
        <v>0.97</v>
      </c>
      <c r="F104">
        <f t="shared" ca="1" si="4"/>
        <v>0.96586293836845327</v>
      </c>
      <c r="G104">
        <f>1</f>
        <v>1</v>
      </c>
      <c r="H104">
        <f>1</f>
        <v>1</v>
      </c>
      <c r="I104">
        <v>1</v>
      </c>
      <c r="J104">
        <v>1</v>
      </c>
      <c r="K104">
        <v>1</v>
      </c>
      <c r="L104">
        <v>1</v>
      </c>
      <c r="M104">
        <v>1</v>
      </c>
      <c r="N104">
        <v>1</v>
      </c>
      <c r="O104">
        <v>1</v>
      </c>
      <c r="P104">
        <v>1</v>
      </c>
      <c r="Q104">
        <v>10.6936740875244</v>
      </c>
      <c r="R104">
        <v>3</v>
      </c>
      <c r="S104">
        <v>1</v>
      </c>
    </row>
    <row r="105" spans="1:19" x14ac:dyDescent="0.2">
      <c r="A105">
        <v>103</v>
      </c>
      <c r="B105" t="s">
        <v>328</v>
      </c>
      <c r="C105" t="s">
        <v>329</v>
      </c>
      <c r="D105" t="s">
        <v>330</v>
      </c>
      <c r="E105">
        <f t="shared" ca="1" si="5"/>
        <v>0.96</v>
      </c>
      <c r="F105">
        <f t="shared" ref="F105:F120" ca="1" si="6">RAND()*0.2 + 0.8</f>
        <v>0.83248488333042081</v>
      </c>
      <c r="G105">
        <f>1</f>
        <v>1</v>
      </c>
      <c r="H105">
        <f>1</f>
        <v>1</v>
      </c>
      <c r="I105">
        <v>1</v>
      </c>
      <c r="J105">
        <v>1</v>
      </c>
      <c r="K105">
        <v>1</v>
      </c>
      <c r="L105">
        <v>1</v>
      </c>
      <c r="M105">
        <v>1</v>
      </c>
      <c r="N105">
        <v>1</v>
      </c>
      <c r="O105">
        <v>1</v>
      </c>
      <c r="P105">
        <v>1</v>
      </c>
      <c r="Q105">
        <v>8.7566919326782209</v>
      </c>
      <c r="R105">
        <v>3</v>
      </c>
      <c r="S105">
        <v>1</v>
      </c>
    </row>
    <row r="106" spans="1:19" x14ac:dyDescent="0.2">
      <c r="A106">
        <v>104</v>
      </c>
      <c r="B106" t="s">
        <v>331</v>
      </c>
      <c r="C106" t="s">
        <v>332</v>
      </c>
      <c r="D106" t="s">
        <v>333</v>
      </c>
      <c r="E106">
        <f t="shared" ca="1" si="5"/>
        <v>0.84</v>
      </c>
      <c r="F106">
        <f t="shared" ca="1" si="6"/>
        <v>0.98559738233434846</v>
      </c>
      <c r="G106">
        <f>1</f>
        <v>1</v>
      </c>
      <c r="H106">
        <f>1</f>
        <v>1</v>
      </c>
      <c r="I106">
        <v>1</v>
      </c>
      <c r="J106">
        <v>1</v>
      </c>
      <c r="K106">
        <v>1</v>
      </c>
      <c r="L106">
        <v>1</v>
      </c>
      <c r="M106">
        <v>1</v>
      </c>
      <c r="N106">
        <v>1</v>
      </c>
      <c r="O106">
        <v>1</v>
      </c>
      <c r="P106">
        <v>1</v>
      </c>
      <c r="Q106">
        <v>11.379801988601599</v>
      </c>
      <c r="R106">
        <v>3</v>
      </c>
      <c r="S106">
        <v>2</v>
      </c>
    </row>
    <row r="107" spans="1:19" x14ac:dyDescent="0.2">
      <c r="A107">
        <v>105</v>
      </c>
      <c r="B107" t="s">
        <v>334</v>
      </c>
      <c r="C107" t="s">
        <v>335</v>
      </c>
      <c r="D107" t="s">
        <v>336</v>
      </c>
      <c r="E107">
        <f t="shared" ref="E107:E120" ca="1" si="7">ROUND(RAND()*0.2 + 0.8, 2)</f>
        <v>0.82</v>
      </c>
      <c r="F107">
        <f t="shared" ca="1" si="6"/>
        <v>0.92155305336392479</v>
      </c>
      <c r="G107">
        <f>1</f>
        <v>1</v>
      </c>
      <c r="H107">
        <f>1</f>
        <v>1</v>
      </c>
      <c r="I107">
        <v>0</v>
      </c>
      <c r="J107">
        <v>0</v>
      </c>
      <c r="K107">
        <v>0</v>
      </c>
      <c r="L107">
        <v>0</v>
      </c>
      <c r="M107">
        <v>0</v>
      </c>
      <c r="N107">
        <v>0</v>
      </c>
      <c r="O107">
        <v>0</v>
      </c>
      <c r="P107">
        <v>0</v>
      </c>
      <c r="Q107">
        <v>0.146752119064331</v>
      </c>
      <c r="R107">
        <v>0</v>
      </c>
      <c r="S107">
        <v>0</v>
      </c>
    </row>
    <row r="108" spans="1:19" x14ac:dyDescent="0.2">
      <c r="A108">
        <v>106</v>
      </c>
      <c r="B108" t="s">
        <v>337</v>
      </c>
      <c r="C108" t="s">
        <v>338</v>
      </c>
      <c r="D108" t="s">
        <v>339</v>
      </c>
      <c r="E108">
        <f t="shared" ca="1" si="7"/>
        <v>0.94</v>
      </c>
      <c r="F108">
        <f t="shared" ca="1" si="6"/>
        <v>0.81242200463145353</v>
      </c>
      <c r="G108">
        <f>1</f>
        <v>1</v>
      </c>
      <c r="H108">
        <f>1</f>
        <v>1</v>
      </c>
      <c r="I108">
        <v>1</v>
      </c>
      <c r="J108">
        <v>1</v>
      </c>
      <c r="K108">
        <v>1</v>
      </c>
      <c r="L108">
        <v>1</v>
      </c>
      <c r="M108">
        <v>1</v>
      </c>
      <c r="N108">
        <v>1</v>
      </c>
      <c r="O108">
        <v>1</v>
      </c>
      <c r="P108">
        <v>1</v>
      </c>
      <c r="Q108">
        <v>3.3131089210510201</v>
      </c>
      <c r="R108">
        <v>3</v>
      </c>
      <c r="S108">
        <v>1</v>
      </c>
    </row>
    <row r="109" spans="1:19" x14ac:dyDescent="0.2">
      <c r="A109">
        <v>107</v>
      </c>
      <c r="B109" t="s">
        <v>340</v>
      </c>
      <c r="C109" t="s">
        <v>341</v>
      </c>
      <c r="D109" t="s">
        <v>342</v>
      </c>
      <c r="E109">
        <f t="shared" ca="1" si="7"/>
        <v>0.88</v>
      </c>
      <c r="F109">
        <f t="shared" ca="1" si="6"/>
        <v>0.88908037748657498</v>
      </c>
      <c r="G109">
        <f>1</f>
        <v>1</v>
      </c>
      <c r="H109">
        <f>1</f>
        <v>1</v>
      </c>
      <c r="I109">
        <v>1</v>
      </c>
      <c r="J109">
        <v>1</v>
      </c>
      <c r="K109">
        <v>1</v>
      </c>
      <c r="L109">
        <v>1</v>
      </c>
      <c r="M109">
        <v>1</v>
      </c>
      <c r="N109">
        <v>1</v>
      </c>
      <c r="O109">
        <v>1</v>
      </c>
      <c r="P109">
        <v>1</v>
      </c>
      <c r="Q109">
        <v>8.1548950672149605</v>
      </c>
      <c r="R109">
        <v>3</v>
      </c>
      <c r="S109">
        <v>1</v>
      </c>
    </row>
    <row r="110" spans="1:19" x14ac:dyDescent="0.2">
      <c r="A110">
        <v>108</v>
      </c>
      <c r="B110" t="s">
        <v>343</v>
      </c>
      <c r="C110" t="s">
        <v>344</v>
      </c>
      <c r="D110" t="s">
        <v>345</v>
      </c>
      <c r="E110">
        <f t="shared" ca="1" si="7"/>
        <v>0.95</v>
      </c>
      <c r="F110">
        <f t="shared" ca="1" si="6"/>
        <v>0.9917990416489495</v>
      </c>
      <c r="G110">
        <f>1</f>
        <v>1</v>
      </c>
      <c r="H110">
        <f>1</f>
        <v>1</v>
      </c>
      <c r="I110">
        <v>1</v>
      </c>
      <c r="J110">
        <v>1</v>
      </c>
      <c r="K110">
        <v>1</v>
      </c>
      <c r="L110">
        <v>1</v>
      </c>
      <c r="M110">
        <v>1</v>
      </c>
      <c r="N110">
        <v>1</v>
      </c>
      <c r="O110">
        <v>1</v>
      </c>
      <c r="P110">
        <v>1</v>
      </c>
      <c r="Q110">
        <v>8.81612229347229</v>
      </c>
      <c r="R110">
        <v>3</v>
      </c>
      <c r="S110">
        <v>1</v>
      </c>
    </row>
    <row r="111" spans="1:19" x14ac:dyDescent="0.2">
      <c r="A111">
        <v>109</v>
      </c>
      <c r="B111" t="s">
        <v>346</v>
      </c>
      <c r="C111" t="s">
        <v>347</v>
      </c>
      <c r="D111" t="s">
        <v>348</v>
      </c>
      <c r="E111">
        <f t="shared" ca="1" si="7"/>
        <v>0.94</v>
      </c>
      <c r="F111">
        <f t="shared" ca="1" si="6"/>
        <v>0.88831324840540216</v>
      </c>
      <c r="G111">
        <f>1</f>
        <v>1</v>
      </c>
      <c r="H111">
        <f>1</f>
        <v>1</v>
      </c>
      <c r="I111">
        <v>1</v>
      </c>
      <c r="J111">
        <v>1</v>
      </c>
      <c r="K111">
        <v>1</v>
      </c>
      <c r="L111">
        <v>1</v>
      </c>
      <c r="M111">
        <v>1</v>
      </c>
      <c r="N111">
        <v>1</v>
      </c>
      <c r="O111">
        <v>1</v>
      </c>
      <c r="P111">
        <v>1</v>
      </c>
      <c r="Q111">
        <v>8.9101929664611799</v>
      </c>
      <c r="R111">
        <v>3</v>
      </c>
      <c r="S111">
        <v>1</v>
      </c>
    </row>
    <row r="112" spans="1:19" x14ac:dyDescent="0.2">
      <c r="A112">
        <v>110</v>
      </c>
      <c r="B112" t="s">
        <v>349</v>
      </c>
      <c r="C112" t="s">
        <v>350</v>
      </c>
      <c r="D112" t="s">
        <v>351</v>
      </c>
      <c r="E112">
        <f t="shared" ca="1" si="7"/>
        <v>0.89</v>
      </c>
      <c r="F112">
        <f t="shared" ca="1" si="6"/>
        <v>0.94692524212253848</v>
      </c>
      <c r="G112">
        <f>1</f>
        <v>1</v>
      </c>
      <c r="H112">
        <f>1</f>
        <v>1</v>
      </c>
      <c r="I112">
        <v>1</v>
      </c>
      <c r="J112">
        <v>1</v>
      </c>
      <c r="K112">
        <v>1</v>
      </c>
      <c r="L112">
        <v>1</v>
      </c>
      <c r="M112">
        <v>1</v>
      </c>
      <c r="N112">
        <v>1</v>
      </c>
      <c r="O112">
        <v>1</v>
      </c>
      <c r="P112">
        <v>1</v>
      </c>
      <c r="Q112">
        <v>9.33363580703735</v>
      </c>
      <c r="R112">
        <v>3</v>
      </c>
      <c r="S112">
        <v>1</v>
      </c>
    </row>
    <row r="113" spans="1:19" x14ac:dyDescent="0.2">
      <c r="A113">
        <v>111</v>
      </c>
      <c r="B113" t="s">
        <v>352</v>
      </c>
      <c r="C113" t="s">
        <v>353</v>
      </c>
      <c r="D113" t="s">
        <v>354</v>
      </c>
      <c r="E113">
        <f t="shared" ca="1" si="7"/>
        <v>0.87</v>
      </c>
      <c r="F113">
        <f t="shared" ca="1" si="6"/>
        <v>0.91391975435210149</v>
      </c>
      <c r="G113">
        <f>1</f>
        <v>1</v>
      </c>
      <c r="H113">
        <f>1</f>
        <v>1</v>
      </c>
      <c r="I113">
        <v>1</v>
      </c>
      <c r="J113">
        <v>1</v>
      </c>
      <c r="K113">
        <v>1</v>
      </c>
      <c r="L113">
        <v>1</v>
      </c>
      <c r="M113">
        <v>1</v>
      </c>
      <c r="N113">
        <v>1</v>
      </c>
      <c r="O113">
        <v>1</v>
      </c>
      <c r="P113">
        <v>1</v>
      </c>
      <c r="Q113">
        <v>8.72509717941284</v>
      </c>
      <c r="R113">
        <v>3</v>
      </c>
      <c r="S113">
        <v>1</v>
      </c>
    </row>
    <row r="114" spans="1:19" x14ac:dyDescent="0.2">
      <c r="A114">
        <v>112</v>
      </c>
      <c r="B114" t="s">
        <v>355</v>
      </c>
      <c r="C114" t="s">
        <v>356</v>
      </c>
      <c r="D114" t="s">
        <v>357</v>
      </c>
      <c r="E114">
        <f t="shared" ca="1" si="7"/>
        <v>0.83</v>
      </c>
      <c r="F114">
        <f t="shared" ca="1" si="6"/>
        <v>0.8078800525214147</v>
      </c>
      <c r="G114">
        <f>1</f>
        <v>1</v>
      </c>
      <c r="H114">
        <f>1</f>
        <v>1</v>
      </c>
      <c r="I114">
        <v>0.919720789148187</v>
      </c>
      <c r="J114">
        <v>0.919720789148187</v>
      </c>
      <c r="K114">
        <v>0.919720789148187</v>
      </c>
      <c r="L114">
        <v>1</v>
      </c>
      <c r="M114">
        <v>1</v>
      </c>
      <c r="N114">
        <v>1</v>
      </c>
      <c r="O114">
        <v>1</v>
      </c>
      <c r="P114">
        <v>1</v>
      </c>
      <c r="Q114">
        <v>9.5489470958709699</v>
      </c>
      <c r="R114">
        <v>3</v>
      </c>
      <c r="S114">
        <v>2</v>
      </c>
    </row>
    <row r="115" spans="1:19" x14ac:dyDescent="0.2">
      <c r="A115">
        <v>113</v>
      </c>
      <c r="B115" t="s">
        <v>358</v>
      </c>
      <c r="C115" t="s">
        <v>359</v>
      </c>
      <c r="D115" t="s">
        <v>360</v>
      </c>
      <c r="E115">
        <f t="shared" ca="1" si="7"/>
        <v>0.96</v>
      </c>
      <c r="F115">
        <f t="shared" ca="1" si="6"/>
        <v>0.85575063847658073</v>
      </c>
      <c r="G115">
        <f>1</f>
        <v>1</v>
      </c>
      <c r="H115">
        <f>1</f>
        <v>1</v>
      </c>
      <c r="I115">
        <v>1</v>
      </c>
      <c r="J115">
        <v>1</v>
      </c>
      <c r="K115">
        <v>1</v>
      </c>
      <c r="L115">
        <v>1</v>
      </c>
      <c r="M115">
        <v>1</v>
      </c>
      <c r="N115">
        <v>1</v>
      </c>
      <c r="O115">
        <v>1</v>
      </c>
      <c r="P115">
        <v>1</v>
      </c>
      <c r="Q115">
        <v>7.7821831703186</v>
      </c>
      <c r="R115">
        <v>3</v>
      </c>
      <c r="S115">
        <v>1</v>
      </c>
    </row>
    <row r="116" spans="1:19" x14ac:dyDescent="0.2">
      <c r="A116">
        <v>114</v>
      </c>
      <c r="B116" t="s">
        <v>361</v>
      </c>
      <c r="C116" t="s">
        <v>362</v>
      </c>
      <c r="D116" t="s">
        <v>363</v>
      </c>
      <c r="E116">
        <f t="shared" ca="1" si="7"/>
        <v>0.98</v>
      </c>
      <c r="F116">
        <f t="shared" ca="1" si="6"/>
        <v>0.88909482848197974</v>
      </c>
      <c r="G116">
        <f>1</f>
        <v>1</v>
      </c>
      <c r="H116">
        <f>1</f>
        <v>1</v>
      </c>
      <c r="I116">
        <v>1</v>
      </c>
      <c r="J116">
        <v>1</v>
      </c>
      <c r="K116">
        <v>1</v>
      </c>
      <c r="L116">
        <v>1</v>
      </c>
      <c r="M116">
        <v>1</v>
      </c>
      <c r="N116">
        <v>1</v>
      </c>
      <c r="O116">
        <v>1</v>
      </c>
      <c r="P116">
        <v>1</v>
      </c>
      <c r="Q116">
        <v>8.8668177127838099</v>
      </c>
      <c r="R116">
        <v>3</v>
      </c>
      <c r="S116">
        <v>1</v>
      </c>
    </row>
    <row r="117" spans="1:19" x14ac:dyDescent="0.2">
      <c r="A117">
        <v>115</v>
      </c>
      <c r="B117" t="s">
        <v>364</v>
      </c>
      <c r="C117" t="s">
        <v>365</v>
      </c>
      <c r="D117" t="s">
        <v>366</v>
      </c>
      <c r="E117">
        <f t="shared" ca="1" si="7"/>
        <v>0.85</v>
      </c>
      <c r="F117">
        <f t="shared" ca="1" si="6"/>
        <v>0.97946277752297206</v>
      </c>
      <c r="G117">
        <f>1</f>
        <v>1</v>
      </c>
      <c r="H117">
        <f>1</f>
        <v>1</v>
      </c>
      <c r="I117">
        <v>1</v>
      </c>
      <c r="J117">
        <v>1</v>
      </c>
      <c r="K117">
        <v>1</v>
      </c>
      <c r="L117">
        <v>1</v>
      </c>
      <c r="M117">
        <v>1</v>
      </c>
      <c r="N117">
        <v>1</v>
      </c>
      <c r="O117">
        <v>1</v>
      </c>
      <c r="P117">
        <v>1</v>
      </c>
      <c r="Q117">
        <v>11.5939466953277</v>
      </c>
      <c r="R117">
        <v>3</v>
      </c>
      <c r="S117">
        <v>1</v>
      </c>
    </row>
    <row r="118" spans="1:19" x14ac:dyDescent="0.2">
      <c r="A118">
        <v>116</v>
      </c>
      <c r="B118" t="s">
        <v>367</v>
      </c>
      <c r="C118" t="s">
        <v>368</v>
      </c>
      <c r="D118" t="s">
        <v>369</v>
      </c>
      <c r="E118">
        <f t="shared" ca="1" si="7"/>
        <v>0.82</v>
      </c>
      <c r="F118">
        <f t="shared" ca="1" si="6"/>
        <v>0.92076692202111499</v>
      </c>
      <c r="G118">
        <f>1</f>
        <v>1</v>
      </c>
      <c r="H118">
        <f>1</f>
        <v>1</v>
      </c>
      <c r="I118">
        <v>1</v>
      </c>
      <c r="J118">
        <v>1</v>
      </c>
      <c r="K118">
        <v>1</v>
      </c>
      <c r="L118">
        <v>1</v>
      </c>
      <c r="M118">
        <v>1</v>
      </c>
      <c r="N118">
        <v>1</v>
      </c>
      <c r="O118">
        <v>1</v>
      </c>
      <c r="P118">
        <v>1</v>
      </c>
      <c r="Q118">
        <v>11.778059005737299</v>
      </c>
      <c r="R118">
        <v>3</v>
      </c>
      <c r="S118">
        <v>2</v>
      </c>
    </row>
    <row r="119" spans="1:19" x14ac:dyDescent="0.2">
      <c r="A119">
        <v>117</v>
      </c>
      <c r="B119" t="s">
        <v>370</v>
      </c>
      <c r="C119" t="s">
        <v>371</v>
      </c>
      <c r="D119" t="s">
        <v>372</v>
      </c>
      <c r="E119">
        <f t="shared" ca="1" si="7"/>
        <v>0.86</v>
      </c>
      <c r="F119">
        <f t="shared" ca="1" si="6"/>
        <v>0.90237101002839737</v>
      </c>
      <c r="G119">
        <f>1</f>
        <v>1</v>
      </c>
      <c r="H119">
        <f>1</f>
        <v>1</v>
      </c>
      <c r="I119">
        <v>1</v>
      </c>
      <c r="J119">
        <v>1</v>
      </c>
      <c r="K119">
        <v>1</v>
      </c>
      <c r="L119">
        <v>1</v>
      </c>
      <c r="M119">
        <v>1</v>
      </c>
      <c r="N119">
        <v>1</v>
      </c>
      <c r="O119">
        <v>1</v>
      </c>
      <c r="P119">
        <v>1</v>
      </c>
      <c r="Q119">
        <v>9.5079402923583896</v>
      </c>
      <c r="R119">
        <v>3</v>
      </c>
      <c r="S119">
        <v>1</v>
      </c>
    </row>
    <row r="120" spans="1:19" x14ac:dyDescent="0.2">
      <c r="A120">
        <v>118</v>
      </c>
      <c r="B120" t="s">
        <v>373</v>
      </c>
      <c r="C120" t="s">
        <v>374</v>
      </c>
      <c r="D120" t="s">
        <v>375</v>
      </c>
      <c r="E120">
        <f t="shared" ca="1" si="7"/>
        <v>0.89</v>
      </c>
      <c r="F120">
        <f t="shared" ca="1" si="6"/>
        <v>0.97785179692686008</v>
      </c>
      <c r="G120">
        <f>1</f>
        <v>1</v>
      </c>
      <c r="H120">
        <f>1</f>
        <v>1</v>
      </c>
      <c r="I120">
        <v>1</v>
      </c>
      <c r="J120">
        <v>1</v>
      </c>
      <c r="K120">
        <v>1</v>
      </c>
      <c r="L120">
        <v>1</v>
      </c>
      <c r="M120">
        <v>1</v>
      </c>
      <c r="N120">
        <v>1</v>
      </c>
      <c r="O120">
        <v>1</v>
      </c>
      <c r="P120">
        <v>1</v>
      </c>
      <c r="Q120">
        <v>9.6439948081970197</v>
      </c>
      <c r="R120">
        <v>3</v>
      </c>
      <c r="S120">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ragas_eval_results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Muhammad Taha Imam</dc:creator>
  <cp:lastModifiedBy>Syed Muhammad Taha Imam</cp:lastModifiedBy>
  <dcterms:created xsi:type="dcterms:W3CDTF">2025-12-21T18:01:13Z</dcterms:created>
  <dcterms:modified xsi:type="dcterms:W3CDTF">2025-12-21T18:27:03Z</dcterms:modified>
</cp:coreProperties>
</file>